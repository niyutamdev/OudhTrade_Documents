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creens" sheetId="2" state="visible" r:id="rId4"/>
    <sheet name="Fields" sheetId="3" state="visible" r:id="rId5"/>
    <sheet name="Open issues" sheetId="4" state="visible" r:id="rId6"/>
  </sheets>
  <definedNames>
    <definedName function="false" hidden="true" localSheetId="2" name="_xlnm._FilterDatabase" vbProcedure="false">Fields!$A$1:$S$400</definedName>
    <definedName function="false" hidden="true" localSheetId="3" name="_xlnm._FilterDatabase" vbProcedure="false">'Open issues'!$A$1:$H$69</definedName>
    <definedName function="false" hidden="true" localSheetId="1" name="_xlnm._FilterDatabase" vbProcedure="false">Screens!$A$1:$M$27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<sst xmlns="http://schemas.openxmlformats.org/spreadsheetml/2006/main" count="8479" uniqueCount="3514">
  <si>
    <t xml:space="preserve">OudhTrade — M01 Screen–Field Map</t>
  </si>
  <si>
    <t xml:space="preserve">One row per field on every screen: what the designer shows, what the frontend sends, where the backend stores it, and how QA checks it.</t>
  </si>
  <si>
    <t xml:space="preserve">Sheets</t>
  </si>
  <si>
    <t xml:space="preserve">Screens — one row per screen with counts, endpoints and components (from the Cross-Module Registers).
Fields — one row per field.
Open issues — mismatches found while mapping; each waits for a product-owner decision.</t>
  </si>
  <si>
    <t xml:space="preserve">Field ID</t>
  </si>
  <si>
    <t xml:space="preserve">Screen code + F + number, e.g. M01-S09-F01. Never reused or renumbered; a removed field is marked "Removed ({date})". ⚠ in the Field ID cell = the field has an open issue.</t>
  </si>
  <si>
    <t xml:space="preserve">Column colours</t>
  </si>
  <si>
    <t xml:space="preserve">Blue = designer (label, control, rules, visibility, error text) · Green = frontend (text key, API field, endpoint) · Brown = backend (table.column, type) · Grey = QA (requirement, test, source).</t>
  </si>
  <si>
    <t xml:space="preserve">Tab</t>
  </si>
  <si>
    <t xml:space="preserve">The tab of the screen the field sits on, from the register (sheet Tabs; Cross-Module Standards §4.2). "—" = the screen has no tabs; "A, B" = shown on both tabs; "Main tab (every settings screen)" = part of the common settings pattern; "Not stated — OI-nn" = the spec names no tab yet (open issue).</t>
  </si>
  <si>
    <t xml:space="preserve">Text key</t>
  </si>
  <si>
    <t xml:space="preserve">The name under which the label is stored in the translations table (M01-5 §4.1) in every language; the screen shows the text by this key. Pattern and parts (label, column, text, link, help, placeholder, error.&lt;code&gt;) in the Cross-Module Standards §8. Help, placeholder and error texts of a field use the same key with their own part.</t>
  </si>
  <si>
    <t xml:space="preserve">API field</t>
  </si>
  <si>
    <t xml:space="preserve">Proposed names made from the column names (camelCase). Final names are fixed by the backend lead in the API contract (OpenAPI).</t>
  </si>
  <si>
    <t xml:space="preserve">Table.column</t>
  </si>
  <si>
    <t xml:space="preserve">"setting &lt;key&gt;" = a value from the settings register (M01-2 §18); "— (derived: …)" = worked out, not stored.</t>
  </si>
  <si>
    <t xml:space="preserve">One source</t>
  </si>
  <si>
    <t xml:space="preserve">Exact texts and rules stay in the module documents (M01-6 UX, M01-5 database, M01-3 API). This map links them; when a document changes, the map is rebuilt.</t>
  </si>
  <si>
    <t xml:space="preserve">Changing a field</t>
  </si>
  <si>
    <t xml:space="preserve">Request through the question log → impact list (UX, database, API, requirement, test, register) → product-owner decision → one batch → rebuilt map and documents.</t>
  </si>
  <si>
    <t xml:space="preserve">Read-only</t>
  </si>
  <si>
    <t xml:space="preserve">Shared with the team as read-only. Only the "Product owner decision" column in Open issues is filled during review.</t>
  </si>
  <si>
    <t xml:space="preserve">Totals</t>
  </si>
  <si>
    <t xml:space="preserve">Screens</t>
  </si>
  <si>
    <t xml:space="preserve">Fields</t>
  </si>
  <si>
    <t xml:space="preserve">Open issues</t>
  </si>
  <si>
    <t xml:space="preserve">Built 29 Sep 2026 from the M01 documents and the Cross-Module Registers.</t>
  </si>
  <si>
    <t xml:space="preserve">Code</t>
  </si>
  <si>
    <t xml:space="preserve">Screen</t>
  </si>
  <si>
    <t xml:space="preserve">Menu label</t>
  </si>
  <si>
    <t xml:space="preserve">Kind</t>
  </si>
  <si>
    <t xml:space="preserve">Route</t>
  </si>
  <si>
    <t xml:space="preserve">UX section</t>
  </si>
  <si>
    <t xml:space="preserve">Tabs</t>
  </si>
  <si>
    <t xml:space="preserve">Endpoints</t>
  </si>
  <si>
    <t xml:space="preserve">Components</t>
  </si>
  <si>
    <t xml:space="preserve">Tables</t>
  </si>
  <si>
    <t xml:space="preserve">Tests</t>
  </si>
  <si>
    <t xml:space="preserve">M01-AD-01</t>
  </si>
  <si>
    <t xml:space="preserve">Settings editor</t>
  </si>
  <si>
    <t xml:space="preserve">Admin</t>
  </si>
  <si>
    <t xml:space="preserve">/admin/settings</t>
  </si>
  <si>
    <t xml:space="preserve">M01-6 §12.2</t>
  </si>
  <si>
    <t xml:space="preserve">Settings editor · History</t>
  </si>
  <si>
    <t xml:space="preserve">GET /v1/admin/settings
PATCH /v1/admin/settings/{key}
POST /v1/admin/settings/{key}/overrides
DELETE …/overrides/{scope}
settings-version API (M01-3 §4.2): /v1/admin/config/versions …</t>
  </si>
  <si>
    <t xml:space="preserve">SettingsTable, DraftEditor, ImpactPreview, ApprovalBar, PublishScheduler, VersionHistory &amp; CompareView, OverridePanel</t>
  </si>
  <si>
    <t xml:space="preserve">config_versions, config_entries</t>
  </si>
  <si>
    <t xml:space="preserve">M01-TC-172, M01-TC-166, M01-TC-167, M01-TC-168, M01-TC-169, M01-TC-170, M01-TC-171, M01-TC-182, M01-TC-183, M01-TC-196, M01-TC-216</t>
  </si>
  <si>
    <t xml:space="preserve">M01-AD-02</t>
  </si>
  <si>
    <t xml:space="preserve">Feature switches and overrides</t>
  </si>
  <si>
    <t xml:space="preserve">Feature switches</t>
  </si>
  <si>
    <t xml:space="preserve">/admin/settings/switches</t>
  </si>
  <si>
    <t xml:space="preserve">M01-6 §12.3</t>
  </si>
  <si>
    <t xml:space="preserve">Feature switches · History</t>
  </si>
  <si>
    <t xml:space="preserve">GET /v1/admin/switches
PATCH /v1/admin/switches/{name}
POST …/{name}/retire
GET …/{name}/check?account=
POST /v1/admin/config/emergency
POST /v1/admin/maintenance/start · POST /v1/admin/maintenance/end
POST /v1/admin/config/emergency/{versionId}/review (used on M16-AD-01)
settings-version API (M01-3 §4.2): /v1/admin/config/versions …</t>
  </si>
  <si>
    <t xml:space="preserve">SettingsTable, DraftEditor, ImpactPreview, ApprovalBar, PublishScheduler, VersionHistory &amp; CompareView, OverridePanel, EmergencyOffButton, MaintenancePanel</t>
  </si>
  <si>
    <t xml:space="preserve">feature_flags, config_versions, config_entries</t>
  </si>
  <si>
    <t xml:space="preserve">M01-TC-173, M01-TC-050, M01-TC-103, M01-TC-125, M01-TC-194, M01-TC-227, M01-TC-228, M01-TC-229, M01-TC-230, M01-TC-231, M01-TC-234</t>
  </si>
  <si>
    <t xml:space="preserve">M01-AD-03</t>
  </si>
  <si>
    <t xml:space="preserve">Country table</t>
  </si>
  <si>
    <t xml:space="preserve">/admin/settings/countries · /admin/settings/countries/{code}</t>
  </si>
  <si>
    <t xml:space="preserve">M01-6 §12.4</t>
  </si>
  <si>
    <t xml:space="preserve">List: Country table · Exchange rates · History
Country detail: General · Status and features · Sign-in · ID rules ↗ · States and districts · History</t>
  </si>
  <si>
    <t xml:space="preserve">GET /v1/admin/countries
GET /v1/admin/fx-rates
PATCH /v1/admin/countries/{code}
POST /v1/admin/countries/{code}/regions
PATCH /v1/admin/regions/{code}
POST /v1/admin/regions/{code}/districts
PATCH /v1/admin/districts/{code}
POST …/retire (regions, districts)
settings-version API (M01-3 §4.2): /v1/admin/config/versions …</t>
  </si>
  <si>
    <t xml:space="preserve">SettingsTable, DraftEditor, ImpactPreview, ApprovalBar, PublishScheduler, VersionHistory &amp; CompareView, FxRatesTab</t>
  </si>
  <si>
    <t xml:space="preserve">countries, country_regions, country_districts, fx_rates, config_versions</t>
  </si>
  <si>
    <t xml:space="preserve">M01-TC-174, M01-TC-119, M01-TC-162, M01-TC-198, M01-TC-208, M01-TC-217, M01-TC-238</t>
  </si>
  <si>
    <t xml:space="preserve">M01-AD-04</t>
  </si>
  <si>
    <t xml:space="preserve">Reserved names</t>
  </si>
  <si>
    <t xml:space="preserve">/admin/settings/reserved-names</t>
  </si>
  <si>
    <t xml:space="preserve">M01-6 §12.5</t>
  </si>
  <si>
    <t xml:space="preserve">Reserved names · History</t>
  </si>
  <si>
    <t xml:space="preserve">GET /v1/admin/reserved-names
POST /v1/admin/reserved-names
PATCH …/{id}
POST …/{id}/retire
GET …/matches?name=
settings-version API (M01-3 §4.2): /v1/admin/config/versions …</t>
  </si>
  <si>
    <t xml:space="preserve">SettingsTable, DraftEditor, ImpactPreview, ApprovalBar, PublishScheduler, VersionHistory &amp; CompareView</t>
  </si>
  <si>
    <t xml:space="preserve">reserved_names, url_slugs, config_versions</t>
  </si>
  <si>
    <t xml:space="preserve">M01-TC-175, M01-TC-143, M01-TC-202, M01-TC-203, M01-TC-218</t>
  </si>
  <si>
    <t xml:space="preserve">M01-AD-05</t>
  </si>
  <si>
    <t xml:space="preserve">Holiday calendar</t>
  </si>
  <si>
    <t xml:space="preserve">/admin/settings/holidays</t>
  </si>
  <si>
    <t xml:space="preserve">M01-6 §12.6</t>
  </si>
  <si>
    <t xml:space="preserve">Holiday calendar · History</t>
  </si>
  <si>
    <t xml:space="preserve">GET /v1/admin/holidays?country=&amp;year=
POST /v1/admin/holidays
PATCH …/{id}
POST …/{id}/retire
POST /v1/admin/holidays/import
settings-version API (M01-3 §4.2): /v1/admin/config/versions …</t>
  </si>
  <si>
    <t xml:space="preserve">business_holidays, config_versions</t>
  </si>
  <si>
    <t xml:space="preserve">M01-TC-176, M01-TC-141, M01-TC-219</t>
  </si>
  <si>
    <t xml:space="preserve">M01-AD-06</t>
  </si>
  <si>
    <t xml:space="preserve">Rate limits</t>
  </si>
  <si>
    <t xml:space="preserve">/admin/settings/rate-limits</t>
  </si>
  <si>
    <t xml:space="preserve">M01-6 §12.7</t>
  </si>
  <si>
    <t xml:space="preserve">Rate limits · History</t>
  </si>
  <si>
    <t xml:space="preserve">GET /v1/admin/rate-limits
PATCH /v1/admin/rate-limits/{module}/{group}
POST …/overrides
DELETE …/overrides/{scope}
settings-version API (M01-3 §4.2): /v1/admin/config/versions …</t>
  </si>
  <si>
    <t xml:space="preserve">rate_limit_policies, rate_limit_blocks, config_versions</t>
  </si>
  <si>
    <t xml:space="preserve">M01-TC-177, M01-TC-197, M01-TC-220</t>
  </si>
  <si>
    <t xml:space="preserve">M01-AD-07</t>
  </si>
  <si>
    <t xml:space="preserve">AI usage and budgets</t>
  </si>
  <si>
    <t xml:space="preserve">AI usage &amp; budgets</t>
  </si>
  <si>
    <t xml:space="preserve">/admin/settings/ai-usage</t>
  </si>
  <si>
    <t xml:space="preserve">M01-6 §12.8</t>
  </si>
  <si>
    <t xml:space="preserve">AI usage &amp; budgets · History</t>
  </si>
  <si>
    <t xml:space="preserve">GET /v1/admin/ai/usage?month=
GET /v1/admin/ai/budgets
PATCH /v1/admin/ai/budgets/{id}
settings-version API (M01-3 §4.2): /v1/admin/config/versions …</t>
  </si>
  <si>
    <t xml:space="preserve">ai_requests, ai_budgets, config_versions</t>
  </si>
  <si>
    <t xml:space="preserve">M01-TC-178, M01-TC-184, M01-TC-149, M01-TC-221</t>
  </si>
  <si>
    <t xml:space="preserve">M01-AD-08</t>
  </si>
  <si>
    <t xml:space="preserve">Audit log viewer</t>
  </si>
  <si>
    <t xml:space="preserve">Audit log</t>
  </si>
  <si>
    <t xml:space="preserve">/admin/audit · /admin/audit/{id}</t>
  </si>
  <si>
    <t xml:space="preserve">M01-6 §12.9</t>
  </si>
  <si>
    <t xml:space="preserve">—</t>
  </si>
  <si>
    <t xml:space="preserve">GET /v1/admin/audit
GET /v1/admin/audit/{id}
POST /v1/admin/audit/export</t>
  </si>
  <si>
    <t xml:space="preserve">— (audit search and record pages; no named component in M01-4)</t>
  </si>
  <si>
    <t xml:space="preserve">audit_log, audit_verify_runs</t>
  </si>
  <si>
    <t xml:space="preserve">M01-TC-179, M01-TC-180, M01-TC-181, M01-TC-044, M01-TC-046, M01-TC-047, M01-TC-156</t>
  </si>
  <si>
    <t xml:space="preserve">M01-AD-09</t>
  </si>
  <si>
    <t xml:space="preserve">Legal hold</t>
  </si>
  <si>
    <t xml:space="preserve">Legal holds</t>
  </si>
  <si>
    <t xml:space="preserve">/admin/legal-holds · /admin/legal-holds/{id}</t>
  </si>
  <si>
    <t xml:space="preserve">M01-6 §12.10</t>
  </si>
  <si>
    <t xml:space="preserve">Active · Released</t>
  </si>
  <si>
    <t xml:space="preserve">GET /v1/admin/legal-holds
GET /v1/admin/legal-holds/{id}
POST /v1/admin/legal-holds
POST /v1/admin/legal-holds/{id}/release
GET /v1/admin/legal-holds/coverage?scopeType=&amp;scopeId=</t>
  </si>
  <si>
    <t xml:space="preserve">LegalHoldList &amp; LegalHoldForm</t>
  </si>
  <si>
    <t xml:space="preserve">legal_holds, retention_policies</t>
  </si>
  <si>
    <t xml:space="preserve">M01-TC-185, M01-TC-186, M01-TC-055, M01-TC-222</t>
  </si>
  <si>
    <t xml:space="preserve">M01-AD-10</t>
  </si>
  <si>
    <t xml:space="preserve">Failed jobs</t>
  </si>
  <si>
    <t xml:space="preserve">/admin/jobs/failed</t>
  </si>
  <si>
    <t xml:space="preserve">M01-6 §12.11</t>
  </si>
  <si>
    <t xml:space="preserve">Retrying · Dead-letter</t>
  </si>
  <si>
    <t xml:space="preserve">GET /v1/admin/jobs?status=retrying|dead&amp;kind=&amp;module=&amp;from=
POST /v1/admin/jobs/{id}/rerun
POST /v1/admin/jobs/rerun
POST /v1/admin/jobs/{id}/discard</t>
  </si>
  <si>
    <t xml:space="preserve">FailedJobsTable</t>
  </si>
  <si>
    <t xml:space="preserve">jobs</t>
  </si>
  <si>
    <t xml:space="preserve">M01-TC-187, M01-TC-052, M01-TC-053, M01-TC-223</t>
  </si>
  <si>
    <t xml:space="preserve">M01-AD-11</t>
  </si>
  <si>
    <t xml:space="preserve">Retention policies</t>
  </si>
  <si>
    <t xml:space="preserve">/admin/settings/retention</t>
  </si>
  <si>
    <t xml:space="preserve">M01-6 §12.12</t>
  </si>
  <si>
    <t xml:space="preserve">Retention policies · History</t>
  </si>
  <si>
    <t xml:space="preserve">GET /v1/admin/retention-policies
PATCH /v1/admin/retention-policies/{dataType}
settings-version API (M01-3 §4.2): /v1/admin/config/versions …</t>
  </si>
  <si>
    <t xml:space="preserve">RetentionPolicyTable, ImpactPreview, ApprovalBar, PublishScheduler, VersionHistory &amp; CompareView</t>
  </si>
  <si>
    <t xml:space="preserve">retention_policies, retention_run_results, legal_holds, config_versions</t>
  </si>
  <si>
    <t xml:space="preserve">M01-TC-188, M01-TC-114, M01-TC-224</t>
  </si>
  <si>
    <t xml:space="preserve">M01-AD-12</t>
  </si>
  <si>
    <t xml:space="preserve">Units and conversion factors</t>
  </si>
  <si>
    <t xml:space="preserve">Units &amp; factors</t>
  </si>
  <si>
    <t xml:space="preserve">/admin/settings/units · /admin/settings/units/land</t>
  </si>
  <si>
    <t xml:space="preserve">M01-6 §12.13</t>
  </si>
  <si>
    <t xml:space="preserve">Units · Helper units · State land units · History</t>
  </si>
  <si>
    <t xml:space="preserve">GET /v1/admin/units
POST /v1/admin/units
PATCH …/{code}
POST …/{code}/retire
GET /v1/admin/units/land
POST /v1/admin/units/land
PATCH …/land/{unit}/{region}
POST …/land/{unit}/{region}/retire
GET /v1/admin/units/helper · PATCH /v1/admin/units/helper/{country}
settings-version API (M01-3 §4.2): /v1/admin/config/versions …</t>
  </si>
  <si>
    <t xml:space="preserve">UnitTable &amp; LandUnitTable, ImpactPreview, ApprovalBar, PublishScheduler, VersionHistory &amp; CompareView</t>
  </si>
  <si>
    <t xml:space="preserve">units, area_unit_factors, config_versions</t>
  </si>
  <si>
    <t xml:space="preserve">M01-TC-189, M01-TC-190, M01-TC-226</t>
  </si>
  <si>
    <t xml:space="preserve">M01-AD-13</t>
  </si>
  <si>
    <t xml:space="preserve">Photo location view (panel)</t>
  </si>
  <si>
    <t xml:space="preserve">— (panel inside review screens)</t>
  </si>
  <si>
    <t xml:space="preserve">— (panel; opens from the Module 3 review screens, e.g. M03-AD-01 and M03-AD-03, and the M06 origin-check screens)</t>
  </si>
  <si>
    <t xml:space="preserve">M01-6 §12.14</t>
  </si>
  <si>
    <t xml:space="preserve">POST /v1/admin/files/{id}/location</t>
  </si>
  <si>
    <t xml:space="preserve">PhotoLocationPanel</t>
  </si>
  <si>
    <t xml:space="preserve">files</t>
  </si>
  <si>
    <t xml:space="preserve">M01-TC-191, M01-TC-083, M01-TC-195</t>
  </si>
  <si>
    <t xml:space="preserve">M01-AD-14</t>
  </si>
  <si>
    <t xml:space="preserve">Simple lists</t>
  </si>
  <si>
    <t xml:space="preserve">/admin/settings/simple-lists · /admin/settings/simple-lists/{groupKey}</t>
  </si>
  <si>
    <t xml:space="preserve">M01-6 §12.15</t>
  </si>
  <si>
    <t xml:space="preserve">Simple lists · History</t>
  </si>
  <si>
    <t xml:space="preserve">GET /v1/admin/simple-lists
GET /v1/admin/simple-lists/{groupKey}
PATCH /v1/admin/simple-lists/{groupKey}
POST …/{groupKey}/items
PATCH …/items/{tagKey}
POST …/items/reorder
POST …/items/{tagKey}/retire
settings-version API (M01-3 §4.2): /v1/admin/config/versions …</t>
  </si>
  <si>
    <t xml:space="preserve">SimpleListTable, ImpactPreview, ApprovalBar, PublishScheduler, VersionHistory &amp; CompareView</t>
  </si>
  <si>
    <t xml:space="preserve">tag_groups, tags, config_versions</t>
  </si>
  <si>
    <t xml:space="preserve">M01-TC-205, M01-TC-206, M01-TC-207, M01-TC-225</t>
  </si>
  <si>
    <t xml:space="preserve">M01-AD-15</t>
  </si>
  <si>
    <t xml:space="preserve">Rate-limit blocks</t>
  </si>
  <si>
    <t xml:space="preserve">Blocks</t>
  </si>
  <si>
    <t xml:space="preserve">/admin/blocks</t>
  </si>
  <si>
    <t xml:space="preserve">M01-6 §12.16</t>
  </si>
  <si>
    <t xml:space="preserve">GET /v1/admin/rate-limit-blocks
POST /v1/admin/rate-limit-blocks
DELETE /v1/admin/rate-limit-blocks/{key}</t>
  </si>
  <si>
    <t xml:space="preserve">BlocksTable</t>
  </si>
  <si>
    <t xml:space="preserve">rate_limit_blocks</t>
  </si>
  <si>
    <t xml:space="preserve">M01-TC-236, M01-TC-237</t>
  </si>
  <si>
    <t xml:space="preserve">M01-S01</t>
  </si>
  <si>
    <t xml:space="preserve">Photo uploader (with farmer simple mode)</t>
  </si>
  <si>
    <t xml:space="preserve">User</t>
  </si>
  <si>
    <t xml:space="preserve">— (component in upload forms, e.g. the M05 listing form)</t>
  </si>
  <si>
    <t xml:space="preserve">M01-6 §3, §3.1</t>
  </si>
  <si>
    <t xml:space="preserve">POST /v1/files
POST /v1/files/{id}/complete
GET /v1/files/{id}
DELETE /v1/files/{id}</t>
  </si>
  <si>
    <t xml:space="preserve">PhotoUploader (farmer simple version for farmers and their field agents)</t>
  </si>
  <si>
    <t xml:space="preserve">files, file_variants, image_blocklist</t>
  </si>
  <si>
    <t xml:space="preserve">M01-TC-001, M01-TC-002, M01-TC-003, M01-TC-004, M01-TC-005, M01-TC-006, M01-TC-007, M01-TC-008, M01-TC-009, M01-TC-078, M01-TC-079, M01-TC-080, M01-TC-081, M01-TC-082, M01-TC-145, M01-TC-157, M01-TC-158, M01-TC-159, M01-TC-160, M01-TC-161, M01-TC-193, M01-TC-195, M01-TC-199, M01-TC-200</t>
  </si>
  <si>
    <t xml:space="preserve">M01-S02</t>
  </si>
  <si>
    <t xml:space="preserve">Video uploader</t>
  </si>
  <si>
    <t xml:space="preserve">M01-6 §4</t>
  </si>
  <si>
    <t xml:space="preserve">POST /v1/files
POST /v1/files/{id}/complete
GET /v1/files/{id}
DELETE /v1/files/{id}
GET /v1/me/allowances (Module 11 plan allowance)</t>
  </si>
  <si>
    <t xml:space="preserve">VideoUploader</t>
  </si>
  <si>
    <t xml:space="preserve">files, file_variants, video_assets</t>
  </si>
  <si>
    <t xml:space="preserve">M01-TC-012, M01-TC-013, M01-TC-014, M01-TC-015, M01-TC-016, M01-TC-017, M01-TC-020, M01-TC-209, M01-TC-216</t>
  </si>
  <si>
    <t xml:space="preserve">M01-S03</t>
  </si>
  <si>
    <t xml:space="preserve">Document uploader</t>
  </si>
  <si>
    <t xml:space="preserve">— (component in M03 and M06 document forms)</t>
  </si>
  <si>
    <t xml:space="preserve">M01-6 §5</t>
  </si>
  <si>
    <t xml:space="preserve">POST /v1/files
POST /v1/files/{id}/complete
GET /v1/files/{id}
DELETE /v1/files/{id}
GET /v1/files/{id}/link (owner only)</t>
  </si>
  <si>
    <t xml:space="preserve">DocumentUploader</t>
  </si>
  <si>
    <t xml:space="preserve">files, file_variants</t>
  </si>
  <si>
    <t xml:space="preserve">M01-TC-010, M01-TC-011, M01-TC-018, M01-TC-163, M01-TC-201</t>
  </si>
  <si>
    <t xml:space="preserve">M01-S04</t>
  </si>
  <si>
    <t xml:space="preserve">Unit picker and price display</t>
  </si>
  <si>
    <t xml:space="preserve">— (component in the M05 listing form and listing pages)</t>
  </si>
  <si>
    <t xml:space="preserve">M01-6 §6</t>
  </si>
  <si>
    <t xml:space="preserve">GET /v1/units?itemType=
GET /v1/units/convert
GET /v1/fx/guide-rates</t>
  </si>
  <si>
    <t xml:space="preserve">PriceDisplay (with the unit picker)</t>
  </si>
  <si>
    <t xml:space="preserve">units, area_unit_factors, fx_rates</t>
  </si>
  <si>
    <t xml:space="preserve">M01-TC-021, M01-TC-022, M01-TC-023, M01-TC-024, M01-TC-025, M01-TC-026, M01-TC-027, M01-TC-028, M01-TC-068, M01-TC-069, M01-TC-070, M01-TC-071, M01-TC-107</t>
  </si>
  <si>
    <t xml:space="preserve">M01-S05</t>
  </si>
  <si>
    <t xml:space="preserve">Cookie banner</t>
  </si>
  <si>
    <t xml:space="preserve">— (on every page; footer link "Cookie settings")</t>
  </si>
  <si>
    <t xml:space="preserve">M01-6 §8</t>
  </si>
  <si>
    <t xml:space="preserve">POST /v1/consents</t>
  </si>
  <si>
    <t xml:space="preserve">CookieBanner &amp; CookieSettings</t>
  </si>
  <si>
    <t xml:space="preserve">cookie_consents</t>
  </si>
  <si>
    <t xml:space="preserve">M01-TC-056, M01-TC-057, M01-TC-058, M01-TC-059, M01-TC-060, M01-TC-115, M01-TC-140, M01-TC-210, M01-TC-211</t>
  </si>
  <si>
    <t xml:space="preserve">M01-S06</t>
  </si>
  <si>
    <t xml:space="preserve">My account activity</t>
  </si>
  <si>
    <t xml:space="preserve">Account → Security → Account activity (under /account/security, M02-4); data GET /v1/me/activity. Field agents use My actions in the agent app (M02-S20), not this page</t>
  </si>
  <si>
    <t xml:space="preserve">M01-6 §9</t>
  </si>
  <si>
    <t xml:space="preserve">GET /v1/me/activity?type=</t>
  </si>
  <si>
    <t xml:space="preserve">ActivityList</t>
  </si>
  <si>
    <t xml:space="preserve">audit_log</t>
  </si>
  <si>
    <t xml:space="preserve">M01-TC-045, M01-TC-212</t>
  </si>
  <si>
    <t xml:space="preserve">M01-S07</t>
  </si>
  <si>
    <t xml:space="preserve">Error and status pages</t>
  </si>
  <si>
    <t xml:space="preserve">— (404, 500, maintenance, offline, too many requests, blocked country; read-only banner and planned-maintenance notice on every page)</t>
  </si>
  <si>
    <t xml:space="preserve">M01-6 §10</t>
  </si>
  <si>
    <t xml:space="preserve">— (pages; 429 RATE_LIMITED with Retry-After; blocked countries stopped at the edge)
/status/maintenance.json (CDN file, no API call)</t>
  </si>
  <si>
    <t xml:space="preserve">Error &amp; status pages</t>
  </si>
  <si>
    <t xml:space="preserve">countries</t>
  </si>
  <si>
    <t xml:space="preserve">M01-TC-064, M01-TC-066, M01-TC-089, M01-TC-097, M01-TC-213, M01-TC-214, M01-TC-231, M01-TC-232, M01-TC-235</t>
  </si>
  <si>
    <t xml:space="preserve">M01-S08</t>
  </si>
  <si>
    <t xml:space="preserve">Report a security issue page</t>
  </si>
  <si>
    <t xml:space="preserve">/report-security-issue (public; linked from /.well-known/security.txt and the footer)</t>
  </si>
  <si>
    <t xml:space="preserve">M01-6 §10.1</t>
  </si>
  <si>
    <t xml:space="preserve">GET /.well-known/security.txt</t>
  </si>
  <si>
    <t xml:space="preserve">SecurityIssuePage</t>
  </si>
  <si>
    <t xml:space="preserve">M01-TC-144</t>
  </si>
  <si>
    <t xml:space="preserve">M01-S09</t>
  </si>
  <si>
    <t xml:space="preserve">Account → Preferences</t>
  </si>
  <si>
    <t xml:space="preserve">/account/preferences; data GET · PUT /v1/me/preferences</t>
  </si>
  <si>
    <t xml:space="preserve">M01-6 §7.1</t>
  </si>
  <si>
    <t xml:space="preserve">GET /v1/me/preferences
PUT /v1/me/preferences</t>
  </si>
  <si>
    <t xml:space="preserve">PreferencesPage</t>
  </si>
  <si>
    <t xml:space="preserve">user_preferences</t>
  </si>
  <si>
    <t xml:space="preserve">M01-TC-033, M01-TC-069, M01-TC-215</t>
  </si>
  <si>
    <t xml:space="preserve">M01-S10</t>
  </si>
  <si>
    <t xml:space="preserve">Phone number field</t>
  </si>
  <si>
    <t xml:space="preserve">— (component in other modules’ forms, e.g. M02 sign-up, M03 business locations)</t>
  </si>
  <si>
    <t xml:space="preserve">M01-6 §7</t>
  </si>
  <si>
    <t xml:space="preserve">GET /v1/countries</t>
  </si>
  <si>
    <t xml:space="preserve">PhoneInput</t>
  </si>
  <si>
    <t xml:space="preserve">M01-TC-073</t>
  </si>
  <si>
    <t xml:space="preserve">M01-S11</t>
  </si>
  <si>
    <t xml:space="preserve">Address form</t>
  </si>
  <si>
    <t xml:space="preserve">AddressForm</t>
  </si>
  <si>
    <t xml:space="preserve">countries, country_regions, country_districts</t>
  </si>
  <si>
    <t xml:space="preserve">M01-TC-074, M01-TC-099</t>
  </si>
  <si>
    <t xml:space="preserve">Total</t>
  </si>
  <si>
    <t xml:space="preserve">Area</t>
  </si>
  <si>
    <t xml:space="preserve">Label</t>
  </si>
  <si>
    <t xml:space="preserve">Control</t>
  </si>
  <si>
    <t xml:space="preserve">Required</t>
  </si>
  <si>
    <t xml:space="preserve">Values and limits</t>
  </si>
  <si>
    <t xml:space="preserve">Default</t>
  </si>
  <si>
    <t xml:space="preserve">Visibility</t>
  </si>
  <si>
    <t xml:space="preserve">Error text</t>
  </si>
  <si>
    <t xml:space="preserve">API field (proposed)</t>
  </si>
  <si>
    <t xml:space="preserve">Endpoint</t>
  </si>
  <si>
    <t xml:space="preserve">Type</t>
  </si>
  <si>
    <t xml:space="preserve">Requirement</t>
  </si>
  <si>
    <t xml:space="preserve">Test</t>
  </si>
  <si>
    <t xml:space="preserve">Source</t>
  </si>
  <si>
    <t xml:space="preserve">M01-S01-F01  ⚠ OI-05</t>
  </si>
  <si>
    <t xml:space="preserve">Standard mode</t>
  </si>
  <si>
    <t xml:space="preserve">Add photos (up to 10) — Take photo · Choose from gallery (mobile) / Drop photos here or Browse (desktop)</t>
  </si>
  <si>
    <t xml:space="preserve">m01.s01.add_photos_take_photo.label</t>
  </si>
  <si>
    <t xml:space="preserve">File</t>
  </si>
  <si>
    <t xml:space="preserve">Yes (a listing has 1–10 photos)</t>
  </si>
  <si>
    <t xml:space="preserve">JPG, PNG, WEBP or iPhone photos (HEIC); max 15 MB each (setting files.photo.max_mb, 1–50 MB); up to 10 per listing (files.listing.photos_max, 1–30); type checked by file signature; decode limits 40 megapixels / 12,000 px a side (files.decode.*); size also enforced at storage (pre-signed POST content-length-range)</t>
  </si>
  <si>
    <t xml:space="preserve">Signed-in user (own)</t>
  </si>
  <si>
    <t xml:space="preserve">“This file type isn’t supported” (FILE_TYPE_NOT_ALLOWED 415) · “Photo is larger than 15 MB” (FILE_TOO_LARGE 413) · “This photo is too large to process” · “We couldn’t use this file: our safety scan found a problem. Please upload a different file.” (FILE_INFECTED 422) · “Upload failed — Retry” · “You’ve added 10 photos, the maximum.”</t>
  </si>
  <si>
    <t xml:space="preserve">purpose · mimeType · sizeBytes</t>
  </si>
  <si>
    <t xml:space="preserve">POST /v1/files · POST /v1/files/{id}/complete</t>
  </si>
  <si>
    <t xml:space="preserve">files.mime_type / files.size_bytes (one row per photo; files.purpose e.g. listing_photo)</t>
  </si>
  <si>
    <t xml:space="preserve">text / bigint</t>
  </si>
  <si>
    <t xml:space="preserve">M01-FR-FIL-001, M01-FR-FIL-002, M01-FR-FIL-005, M01-FR-FIL-018, M01-FR-FIL-025, M01-FR-SEC-011</t>
  </si>
  <si>
    <t xml:space="preserve">M01-TC-001, M01-TC-002, M01-TC-003, M01-TC-006, M01-TC-018, M01-TC-082, M01-TC-145, M01-TC-155</t>
  </si>
  <si>
    <t xml:space="preserve">M01-6 §3; M01-5 §2.1; M01-3 §2, §4, §4.3; M01-2 §3.1, §18</t>
  </si>
  <si>
    <t xml:space="preserve">M01-S01-F02</t>
  </si>
  <si>
    <t xml:space="preserve">Upload progress “Uploading 60%” (Cancel ×)</t>
  </si>
  <si>
    <t xml:space="preserve">m01.s01.upload_progress.text</t>
  </si>
  <si>
    <t xml:space="preserve">Display</t>
  </si>
  <si>
    <t xml:space="preserve">0–100 %</t>
  </si>
  <si>
    <t xml:space="preserve">uploadProgress</t>
  </si>
  <si>
    <t xml:space="preserve">— (browser → pre-signed S3 POST)</t>
  </si>
  <si>
    <t xml:space="preserve">— (derived: client upload progress; not stored)</t>
  </si>
  <si>
    <t xml:space="preserve">M01-FR-FIL-021</t>
  </si>
  <si>
    <t xml:space="preserve">M01-TC-159</t>
  </si>
  <si>
    <t xml:space="preserve">M01-6 §3; M01-4 §4</t>
  </si>
  <si>
    <t xml:space="preserve">M01-S01-F03</t>
  </si>
  <si>
    <t xml:space="preserve">Status “Checking…” / Ready (safety scan and processing)</t>
  </si>
  <si>
    <t xml:space="preserve">m01.s01.status.text</t>
  </si>
  <si>
    <t xml:space="preserve">files.status: pending_upload, uploaded, scanning, processing, held, in_review, ready, attached, expired, rejected_infected, rejected, failed, deleted (“Checking…” = scanning / processing)</t>
  </si>
  <si>
    <t xml:space="preserve">status</t>
  </si>
  <si>
    <t xml:space="preserve">GET /v1/files/{id}</t>
  </si>
  <si>
    <t xml:space="preserve">files.status</t>
  </si>
  <si>
    <t xml:space="preserve">text</t>
  </si>
  <si>
    <t xml:space="preserve">M01-FR-FIL-018</t>
  </si>
  <si>
    <t xml:space="preserve">M01-TC-018</t>
  </si>
  <si>
    <t xml:space="preserve">M01-6 §3; M01-5 §2.1; M01-3 §2.1</t>
  </si>
  <si>
    <t xml:space="preserve">M01-S01-F04</t>
  </si>
  <si>
    <t xml:space="preserve">Thumbnail</t>
  </si>
  <si>
    <t xml:space="preserve">m01.s01.thumbnail.text</t>
  </si>
  <si>
    <t xml:space="preserve">variants thumb 320, medium 800, large 1600 (WEBP + JPG); location and EXIF removed from all variants; faces blurred for farm-visit and business-location photos (variant blurred)</t>
  </si>
  <si>
    <t xml:space="preserve">variants[] (variant · storageKey)</t>
  </si>
  <si>
    <t xml:space="preserve">file_variants.variant / file_variants.storage_key</t>
  </si>
  <si>
    <t xml:space="preserve">text / text</t>
  </si>
  <si>
    <t xml:space="preserve">M01-FR-FIL-003, M01-FR-FIL-004, M01-FR-FIL-028</t>
  </si>
  <si>
    <t xml:space="preserve">M01-TC-004, M01-TC-005, M01-TC-193, M01-TC-199</t>
  </si>
  <si>
    <t xml:space="preserve">M01-6 §3; M01-5 §2.2; M01-3 §2</t>
  </si>
  <si>
    <t xml:space="preserve">M01-S01-F05  ⚠ OI-01</t>
  </si>
  <si>
    <t xml:space="preserve">“Cover” tag on the first photo; drag handle to reorder (button alternatives “Move left”, “Move right”, “Make cover”)</t>
  </si>
  <si>
    <t xml:space="preserve">m01.s01.cover.text</t>
  </si>
  <si>
    <t xml:space="preserve">first photo is the cover; order changed by drag or buttons</t>
  </si>
  <si>
    <t xml:space="preserve">position (M05 listing-photo link)</t>
  </si>
  <si>
    <t xml:space="preserve">M05 listing-photo link, position column (photo order and cover are stored by M05, M01-5 §2.1)</t>
  </si>
  <si>
    <t xml:space="preserve">M01-FR-FIL-005</t>
  </si>
  <si>
    <t xml:space="preserve">M01-TC-007, M01-TC-158</t>
  </si>
  <si>
    <t xml:space="preserve">M01-6 §3, §11; M01-2 FIL-005; M01-5 §2.1</t>
  </si>
  <si>
    <t xml:space="preserve">M01-S01-F06</t>
  </si>
  <si>
    <t xml:space="preserve">Counter “4 of {n}”</t>
  </si>
  <si>
    <t xml:space="preserve">m01.s01.counter.text</t>
  </si>
  <si>
    <t xml:space="preserve">count of photos ÷ setting files.listing.photos_max (default 10, 1–30)</t>
  </si>
  <si>
    <t xml:space="preserve">“You’ve added {n} photos, the maximum.” (Add button disabled)</t>
  </si>
  <si>
    <t xml:space="preserve">photoCount (proposal)</t>
  </si>
  <si>
    <t xml:space="preserve">— (derived: photos in the form ÷ setting files.listing.photos_max)</t>
  </si>
  <si>
    <t xml:space="preserve">M01-TC-006</t>
  </si>
  <si>
    <t xml:space="preserve">M01-6 §3; M01-2 §18</t>
  </si>
  <si>
    <t xml:space="preserve">M01-S01-F07</t>
  </si>
  <si>
    <t xml:space="preserve">Quality warning — amber badge “This photo is small or blurry — buyers prefer clear photos.”</t>
  </si>
  <si>
    <t xml:space="preserve">m01.s01.quality_warning_amber_badge.text</t>
  </si>
  <si>
    <t xml:space="preserve">small (short side below 800 px, setting files.photo.quality_min_px 320–2,000) or blurred; warns only — photo still accepted</t>
  </si>
  <si>
    <t xml:space="preserve">qualityWarning</t>
  </si>
  <si>
    <t xml:space="preserve">files.quality_warning</t>
  </si>
  <si>
    <t xml:space="preserve">text (small, blurred or null)</t>
  </si>
  <si>
    <t xml:space="preserve">M01-FR-FIL-006</t>
  </si>
  <si>
    <t xml:space="preserve">M01-TC-008</t>
  </si>
  <si>
    <t xml:space="preserve">M01-6 §3; M01-5 §2.1; M01-2 §18</t>
  </si>
  <si>
    <t xml:space="preserve">M01-S01-F08  ⚠ OI-04</t>
  </si>
  <si>
    <t xml:space="preserve">Held for review — amber chip “Held — this photo seems to show contact details (a phone number, email, web address, payment ID or QR code). Contact details aren’t allowed in photos. Our team will check it.” (Replace photo)</t>
  </si>
  <si>
    <t xml:space="preserve">m01.s01.held_review_amber_chip.text</t>
  </si>
  <si>
    <t xml:space="preserve">status held; safety_flags found text types: phone, email, upi, url, qr</t>
  </si>
  <si>
    <t xml:space="preserve">status · safetyFlags</t>
  </si>
  <si>
    <t xml:space="preserve">files.status (held) + files.safety_flags</t>
  </si>
  <si>
    <t xml:space="preserve">text / jsonb</t>
  </si>
  <si>
    <t xml:space="preserve">M01-FR-FIL-023</t>
  </si>
  <si>
    <t xml:space="preserve">M01-TC-078, M01-TC-079</t>
  </si>
  <si>
    <t xml:space="preserve">M01-6 §3; M01-5 §2.1; M01-3 §2</t>
  </si>
  <si>
    <t xml:space="preserve">M01-S01-F09</t>
  </si>
  <si>
    <t xml:space="preserve">Copied photo — “This photo matches another seller’s photo. Please use your own photos.”</t>
  </si>
  <si>
    <t xml:space="preserve">m01.s01.copied_photo.text</t>
  </si>
  <si>
    <t xml:space="preserve">while suspected: status stays ready / attached and nothing is shown to the seller; message only after moderation (M12) confirms</t>
  </si>
  <si>
    <t xml:space="preserve">duplicateSuspected · status · rejectReason</t>
  </si>
  <si>
    <t xml:space="preserve">files.duplicate_suspected → files.status (rejected) + files.reject_reason after moderation.file_decided</t>
  </si>
  <si>
    <t xml:space="preserve">boolean / text / text</t>
  </si>
  <si>
    <t xml:space="preserve">M01-FR-FIL-024, M01-FR-FIL-025</t>
  </si>
  <si>
    <t xml:space="preserve">M01-TC-080, M01-TC-081, M01-TC-200</t>
  </si>
  <si>
    <t xml:space="preserve">M01-6 §3; M01-5 §2.1; M01-3 §2, §5.1</t>
  </si>
  <si>
    <t xml:space="preserve">M01-S01-F10</t>
  </si>
  <si>
    <t xml:space="preserve">Rejection / failure reason (e.g. image_too_large → “This photo is too large to process”)</t>
  </si>
  <si>
    <t xml:space="preserve">m01.s01.rejection_failure_reason.text</t>
  </si>
  <si>
    <t xml:space="preserve">set for rejected or failed files</t>
  </si>
  <si>
    <t xml:space="preserve">“This photo is too large to process”</t>
  </si>
  <si>
    <t xml:space="preserve">rejectReason</t>
  </si>
  <si>
    <t xml:space="preserve">files.reject_reason</t>
  </si>
  <si>
    <t xml:space="preserve">M01-FR-FIL-018, M01-FR-FIL-001</t>
  </si>
  <si>
    <t xml:space="preserve">M01-TC-155</t>
  </si>
  <si>
    <t xml:space="preserve">M01-S01-F11</t>
  </si>
  <si>
    <t xml:space="preserve">Location note “Location is never shown publicly. OudhTrade staff may use it to check origin.”</t>
  </si>
  <si>
    <t xml:space="preserve">m01.s01.location_note.text</t>
  </si>
  <si>
    <t xml:space="preserve">shown only for purposes that keep the location: farm_visit_photo, verification_photo, verification_doc, location_photo, origin_photo, origin_doc; for all other purposes location is removed at upload and no note is shown</t>
  </si>
  <si>
    <t xml:space="preserve">Signed-in user (own) — note only; the location itself is Private (photo_location.view)</t>
  </si>
  <si>
    <t xml:space="preserve">purpose</t>
  </si>
  <si>
    <t xml:space="preserve">POST /v1/files</t>
  </si>
  <si>
    <t xml:space="preserve">files.purpose (decides); files.location_private is never returned to the uploader</t>
  </si>
  <si>
    <t xml:space="preserve">text / bytea (encrypted)</t>
  </si>
  <si>
    <t xml:space="preserve">M01-FR-FIL-022</t>
  </si>
  <si>
    <t xml:space="preserve">M01-TC-195</t>
  </si>
  <si>
    <t xml:space="preserve">M01-6 §3; M01-5 §2.1; M01-2 FIL-022</t>
  </si>
  <si>
    <t xml:space="preserve">M01-S01-F12  ⚠ OI-02</t>
  </si>
  <si>
    <t xml:space="preserve">Add OudhTrade watermark to my photos</t>
  </si>
  <si>
    <t xml:space="preserve">m01.s01.add_oudhtrade_watermark.label</t>
  </si>
  <si>
    <t xml:space="preserve">Switch</t>
  </si>
  <si>
    <t xml:space="preserve">No</t>
  </si>
  <si>
    <t xml:space="preserve">on / off; remembered for the account as the default for new photos; each photo keeps its own value; applied to public variants only</t>
  </si>
  <si>
    <t xml:space="preserve">Off</t>
  </si>
  <si>
    <t xml:space="preserve">hasWatermark</t>
  </si>
  <si>
    <t xml:space="preserve">GET · PUT /v1/me/preferences (default); POST /v1/files copies it to the file</t>
  </si>
  <si>
    <t xml:space="preserve">user_preferences.watermark_default → files.has_watermark</t>
  </si>
  <si>
    <t xml:space="preserve">boolean</t>
  </si>
  <si>
    <t xml:space="preserve">M01-FR-FIL-007</t>
  </si>
  <si>
    <t xml:space="preserve">M01-TC-009</t>
  </si>
  <si>
    <t xml:space="preserve">M01-6 §3; M01-5 §2.1; M01-3 §3; M01-2 FIL-007</t>
  </si>
  <si>
    <t xml:space="preserve">M01-S01-F13</t>
  </si>
  <si>
    <t xml:space="preserve">Farmer simple mode</t>
  </si>
  <si>
    <t xml:space="preserve">“Take photo” (opens the camera) · “Choose photo” — “Add photos of your trees, wood or oil.”</t>
  </si>
  <si>
    <t xml:space="preserve">m01.s01.take_photo.label</t>
  </si>
  <si>
    <t xml:space="preserve">same types and limits as standard mode; downscaled on the phone to long side 1,600 px; each file uploads separately; touch targets ≥ 48 × 48 px</t>
  </si>
  <si>
    <t xml:space="preserve">Signed-in user (own) — farmer accounts and field agents working for a farmer</t>
  </si>
  <si>
    <t xml:space="preserve">“Couldn’t send this photo.” (Try again · Remove)</t>
  </si>
  <si>
    <t xml:space="preserve">files.mime_type / files.size_bytes</t>
  </si>
  <si>
    <t xml:space="preserve">M01-FR-FIL-001, M01-FR-FIL-002, M01-FR-FIL-021</t>
  </si>
  <si>
    <t xml:space="preserve">M01-TC-160, M01-TC-161</t>
  </si>
  <si>
    <t xml:space="preserve">M01-6 §3.1; M01-4 §4.1</t>
  </si>
  <si>
    <t xml:space="preserve">M01-S01-F14</t>
  </si>
  <si>
    <t xml:space="preserve">“Record video (up to 60 seconds)”</t>
  </si>
  <si>
    <t xml:space="preserve">m01.s01.record_video_up.label</t>
  </si>
  <si>
    <t xml:space="preserve">MP4 or MOV; ≤ 60 s (files.video.max_seconds 10–180); ≤ 100 MB (files.video.max_mb 10–500); multipart upload with resume</t>
  </si>
  <si>
    <t xml:space="preserve">Signed-in user (own) — verified farmers</t>
  </si>
  <si>
    <t xml:space="preserve">mimeType · sizeBytes · durationS</t>
  </si>
  <si>
    <t xml:space="preserve">files.size_bytes · video_assets.duration_s</t>
  </si>
  <si>
    <t xml:space="preserve">bigint / numeric(5,1)</t>
  </si>
  <si>
    <t xml:space="preserve">M01-FR-FIL-011, M01-FR-FIL-017, M01-FR-FIL-021</t>
  </si>
  <si>
    <t xml:space="preserve">M01-TC-161</t>
  </si>
  <si>
    <t xml:space="preserve">M01-6 §3.1; M01-5 §2.1, §2.3</t>
  </si>
  <si>
    <t xml:space="preserve">M01-S01-F15</t>
  </si>
  <si>
    <t xml:space="preserve">Progress “Sending… 40%” (full-width bar per file)</t>
  </si>
  <si>
    <t xml:space="preserve">m01.s01.progress.text</t>
  </si>
  <si>
    <t xml:space="preserve">— (derived: client upload progress)</t>
  </si>
  <si>
    <t xml:space="preserve">M01-TC-020, M01-TC-161</t>
  </si>
  <si>
    <t xml:space="preserve">M01-6 §3.1</t>
  </si>
  <si>
    <t xml:space="preserve">M01-S01-F16</t>
  </si>
  <si>
    <t xml:space="preserve">Upload queue — other photos waiting as small thumbnails</t>
  </si>
  <si>
    <t xml:space="preserve">m01.s01.upload_queue_other_photos.text</t>
  </si>
  <si>
    <t xml:space="preserve">queue kept in the browser; continues after the page is reopened</t>
  </si>
  <si>
    <t xml:space="preserve">— (derived: browser queue; not stored in M01 tables)</t>
  </si>
  <si>
    <t xml:space="preserve">M01-S01-F17</t>
  </si>
  <si>
    <t xml:space="preserve">Network state “Waiting for network — we’ll continue by ourselves.”</t>
  </si>
  <si>
    <t xml:space="preserve">m01.s01.network_state_well_continue.text</t>
  </si>
  <si>
    <t xml:space="preserve">upload resumes from where it stopped</t>
  </si>
  <si>
    <t xml:space="preserve">— (derived: client network state)</t>
  </si>
  <si>
    <t xml:space="preserve">M01-S01-F18</t>
  </si>
  <si>
    <t xml:space="preserve">Status “Sent” / “Couldn’t send this photo.” / “Our team will check this photo.” / “Our team will check your video before it goes live.”</t>
  </si>
  <si>
    <t xml:space="preserve">m01.s01.farmer_simple.status.text</t>
  </si>
  <si>
    <t xml:space="preserve">green tick “Sent”; held / in review in shorter words</t>
  </si>
  <si>
    <t xml:space="preserve">status · reviewStatus</t>
  </si>
  <si>
    <t xml:space="preserve">files.status (+ video_assets.review_status for video)</t>
  </si>
  <si>
    <t xml:space="preserve">M01-FR-FIL-015, M01-FR-FIL-021, M01-FR-FIL-023</t>
  </si>
  <si>
    <t xml:space="preserve">M01-TC-015, M01-TC-078</t>
  </si>
  <si>
    <t xml:space="preserve">M01-S01-F19</t>
  </si>
  <si>
    <t xml:space="preserve">“Cover” on the first photo — “Make cover” button replaces drag-to-reorder</t>
  </si>
  <si>
    <t xml:space="preserve">m01.s01.farmer_simple.cover.text</t>
  </si>
  <si>
    <t xml:space="preserve">first photo is the cover</t>
  </si>
  <si>
    <t xml:space="preserve">position (proposal)</t>
  </si>
  <si>
    <t xml:space="preserve">— (no column: photo order not stored in M01 tables)</t>
  </si>
  <si>
    <t xml:space="preserve">M01-S02-F01</t>
  </si>
  <si>
    <t xml:space="preserve">Main</t>
  </si>
  <si>
    <t xml:space="preserve">Not verified — “Only verified sellers and farmers can add video. Get verified first.” (link Get verified, M03)</t>
  </si>
  <si>
    <t xml:space="preserve">m01.s02.not_verified.text</t>
  </si>
  <si>
    <t xml:space="preserve">shown instead of the uploader when the account is not verified</t>
  </si>
  <si>
    <t xml:space="preserve">“Only verified sellers and farmers can add video. Get verified first.” (NOT_VERIFIED 403)</t>
  </si>
  <si>
    <t xml:space="preserve">POST /v1/files → 403 NOT_VERIFIED</t>
  </si>
  <si>
    <t xml:space="preserve">— (derived: account verification status from M03)</t>
  </si>
  <si>
    <t xml:space="preserve">M01-FR-FIL-017</t>
  </si>
  <si>
    <t xml:space="preserve">M01-TC-017</t>
  </si>
  <si>
    <t xml:space="preserve">M01-6 §4; M01-5 §2.1, §2.3; M01-3 §2, §4.3</t>
  </si>
  <si>
    <t xml:space="preserve">M01-S02-F02  ⚠ OI-09</t>
  </si>
  <si>
    <t xml:space="preserve">Allowance “Video: {used} of {total} used on your plan.”</t>
  </si>
  <si>
    <t xml:space="preserve">m01.s02.allowance.text</t>
  </si>
  <si>
    <t xml:space="preserve">allowance from Module 11 plan settings (default 2 listings for free plans and farmers); none left → upload disabled</t>
  </si>
  <si>
    <t xml:space="preserve">2 (free plans and farmers)</t>
  </si>
  <si>
    <t xml:space="preserve">“Upgrade your plan to add video to more listings” (UPLOAD_ALLOWANCE_USED 403)</t>
  </si>
  <si>
    <t xml:space="preserve">videoAllowanceUsed · videoAllowanceTotal (proposal)</t>
  </si>
  <si>
    <t xml:space="preserve">GET /v1/me/allowances (Module 11 plan allowance)</t>
  </si>
  <si>
    <t xml:space="preserve">— (derived: M11 plan allowance and count of listing videos)</t>
  </si>
  <si>
    <t xml:space="preserve">M01-FR-FIL-014</t>
  </si>
  <si>
    <t xml:space="preserve">M01-TC-014</t>
  </si>
  <si>
    <t xml:space="preserve">M01-6 §4; M01-2 FIL-014; M01-3 §4.3, §5.1</t>
  </si>
  <si>
    <t xml:space="preserve">M01-S02-F03  ⚠ OI-06, OI-07, OI-08</t>
  </si>
  <si>
    <t xml:space="preserve">Video — “Add one short video (up to {seconds} seconds, MP4 or MOV, max {max} MB).”</t>
  </si>
  <si>
    <t xml:space="preserve">m01.s02.video.label</t>
  </si>
  <si>
    <t xml:space="preserve">MP4 or MOV; listing video ≤ 60 s (files.video.max_seconds 10–180) and ≤ 100 MB (files.video.max_mb 10–500); business-location video ≤ 45 s (files.location_video.max_seconds 10–60) and ≤ 45 MB (files.location_video.max_mb 5–100); one video per listing; duration read in the browser before upload</t>
  </si>
  <si>
    <t xml:space="preserve">Signed-in user (own) — verified sellers and farmers</t>
  </si>
  <si>
    <t xml:space="preserve">“This video is {length}. Please trim it to {seconds} seconds or less.” (VIDEO_TOO_LONG) · “Video is larger than {max} MB.” (FILE_TOO_LARGE)</t>
  </si>
  <si>
    <t xml:space="preserve">files.mime_type / files.size_bytes · video_assets.duration_s</t>
  </si>
  <si>
    <t xml:space="preserve">text / bigint · numeric(5,1)</t>
  </si>
  <si>
    <t xml:space="preserve">M01-FR-FIL-011, M01-FR-FIL-012, M01-FR-FIL-026</t>
  </si>
  <si>
    <t xml:space="preserve">M01-TC-012, M01-TC-013, M01-TC-165, M01-TC-209</t>
  </si>
  <si>
    <t xml:space="preserve">M01-6 §4; M01-5 §2.3; M01-2 §3.3, §18; M01-4 §4</t>
  </si>
  <si>
    <t xml:space="preserve">M01-S02-F04</t>
  </si>
  <si>
    <t xml:space="preserve">Upload progress bar with percentage (resumes after network loss)</t>
  </si>
  <si>
    <t xml:space="preserve">m01.s02.upload_progress_bar.text</t>
  </si>
  <si>
    <t xml:space="preserve">0–100 %; resumable multipart upload</t>
  </si>
  <si>
    <t xml:space="preserve">— (browser → multipart upload)</t>
  </si>
  <si>
    <t xml:space="preserve">M01-TC-020, M01-TC-159, M01-TC-161</t>
  </si>
  <si>
    <t xml:space="preserve">M01-S02-F05</t>
  </si>
  <si>
    <t xml:space="preserve">Status chip Processing · In review · Live · Not approved</t>
  </si>
  <si>
    <t xml:space="preserve">m01.s02.status_chip_processing.text</t>
  </si>
  <si>
    <t xml:space="preserve">“Processing — this can take a few minutes. You can keep editing.” · “In review — our team checks videos before they go live …” · “Live” · “Not approved” + reason; review_status in_review, approved, rejected</t>
  </si>
  <si>
    <t xml:space="preserve">files.status + video_assets.review_status</t>
  </si>
  <si>
    <t xml:space="preserve">M01-FR-FIL-015</t>
  </si>
  <si>
    <t xml:space="preserve">M01-TC-013, M01-TC-015</t>
  </si>
  <si>
    <t xml:space="preserve">M01-S02-F06</t>
  </si>
  <si>
    <t xml:space="preserve">Service target in “usually within {service target}”</t>
  </si>
  <si>
    <t xml:space="preserve">m01.s02.service_target.text</t>
  </si>
  <si>
    <t xml:space="preserve">— (derived: M12 video review service target; not an M01 setting)</t>
  </si>
  <si>
    <t xml:space="preserve">M01-S02-F07</t>
  </si>
  <si>
    <t xml:space="preserve">Rejection reason (e.g. “Shows a phone number. Please remove contact details and upload again.”)</t>
  </si>
  <si>
    <t xml:space="preserve">m01.s02.rejection_reason.text</t>
  </si>
  <si>
    <t xml:space="preserve">shown with chip “Not approved”</t>
  </si>
  <si>
    <t xml:space="preserve">M01-TC-015</t>
  </si>
  <si>
    <t xml:space="preserve">M01-S02-F08</t>
  </si>
  <si>
    <t xml:space="preserve">Player with cover image (muted by default, sound button)</t>
  </si>
  <si>
    <t xml:space="preserve">m01.s02.player_cover_image.text</t>
  </si>
  <si>
    <t xml:space="preserve">720p H.264 web version; poster frame; loads only when played</t>
  </si>
  <si>
    <t xml:space="preserve">Public once live; owner before</t>
  </si>
  <si>
    <t xml:space="preserve">posterVariantId · variants[]</t>
  </si>
  <si>
    <t xml:space="preserve">video_assets.poster_variant_id → file_variants (poster, web_720p)</t>
  </si>
  <si>
    <t xml:space="preserve">uuid</t>
  </si>
  <si>
    <t xml:space="preserve">M01-FR-FIL-013, M01-FR-FIL-016</t>
  </si>
  <si>
    <t xml:space="preserve">M01-TC-013, M01-TC-016</t>
  </si>
  <si>
    <t xml:space="preserve">M01-6 §4; M01-5 §2.2, §2.3</t>
  </si>
  <si>
    <t xml:space="preserve">M01-S03-F01  ⚠ OI-03</t>
  </si>
  <si>
    <t xml:space="preserve">Document file — “PDF, JPG, PNG, HEIC/HEIF or WEBP, max 10 MB.”</t>
  </si>
  <si>
    <t xml:space="preserve">m01.s03.document_file.label</t>
  </si>
  <si>
    <t xml:space="preserve">Yes (as required by the M03 / M06 form)</t>
  </si>
  <si>
    <t xml:space="preserve">PDF, JPG, PNG, HEIC / HEIF, WEBP; max 10 MB (setting files.document.max_mb 1–25); HEIC / HEIF and WEBP converted to JPG for reviewers, original kept privately; never shown on public pages</t>
  </si>
  <si>
    <t xml:space="preserve">Signed-in user (own); staff only in the M03 watermarked viewer</t>
  </si>
  <si>
    <t xml:space="preserve">“This file type isn’t supported. Use PDF, JPG, PNG, HEIC/HEIF or WEBP.” · “File is larger than 10 MB.” · “We couldn’t use this file: our safety scan found a problem. Please upload a different file.” · “Upload failed — Retry”</t>
  </si>
  <si>
    <t xml:space="preserve">files.mime_type / files.size_bytes (purpose verification_doc / origin_doc)</t>
  </si>
  <si>
    <t xml:space="preserve">M01-FR-FIL-008, M01-FR-FIL-018, M01-FR-FIL-019</t>
  </si>
  <si>
    <t xml:space="preserve">M01-TC-010, M01-TC-018, M01-TC-163</t>
  </si>
  <si>
    <t xml:space="preserve">M01-6 §5; M01-5 §2.1; M01-3 §2, §4.3; M01-2 §3.2, §18</t>
  </si>
  <si>
    <t xml:space="preserve">M01-S03-F02</t>
  </si>
  <si>
    <t xml:space="preserve">Label showing which document is needed (e.g. “GST certificate”)</t>
  </si>
  <si>
    <t xml:space="preserve">m01.s03.label_showing_which.text</t>
  </si>
  <si>
    <t xml:space="preserve">set by the M03 / M06 form</t>
  </si>
  <si>
    <t xml:space="preserve">— (from the M03 / M06 document checklist; files.purpose)</t>
  </si>
  <si>
    <t xml:space="preserve">M01-FR-FIL-019</t>
  </si>
  <si>
    <t xml:space="preserve">M01-S03-F03</t>
  </si>
  <si>
    <t xml:space="preserve">File name</t>
  </si>
  <si>
    <t xml:space="preserve">m01.s03.file_name.text</t>
  </si>
  <si>
    <t xml:space="preserve">stored for display only</t>
  </si>
  <si>
    <t xml:space="preserve">originalName</t>
  </si>
  <si>
    <t xml:space="preserve">files.original_name</t>
  </si>
  <si>
    <t xml:space="preserve">M01-FR-FIL-008</t>
  </si>
  <si>
    <t xml:space="preserve">M01-TC-163</t>
  </si>
  <si>
    <t xml:space="preserve">M01-S03-F04</t>
  </si>
  <si>
    <t xml:space="preserve">Status “Checking…” → “Uploaded — under review”</t>
  </si>
  <si>
    <t xml:space="preserve">m01.s03.status_under_review.text</t>
  </si>
  <si>
    <t xml:space="preserve">scanning / processing → ready / attached; the review itself is Module 3 / 6</t>
  </si>
  <si>
    <t xml:space="preserve">M01-FR-FIL-018, M01-FR-FIL-009</t>
  </si>
  <si>
    <t xml:space="preserve">M01-TC-018, M01-TC-163</t>
  </si>
  <si>
    <t xml:space="preserve">M01-S04-F01</t>
  </si>
  <si>
    <t xml:space="preserve">Listing form</t>
  </si>
  <si>
    <t xml:space="preserve">Unit picker</t>
  </si>
  <si>
    <t xml:space="preserve">m01.s04.unit_picker.label</t>
  </si>
  <si>
    <t xml:space="preserve">Dropdown</t>
  </si>
  <si>
    <t xml:space="preserve">Yes</t>
  </si>
  <si>
    <t xml:space="preserve">only allowed units for the item, grouped Weight · Volume · Count · Area; prices only per metric or count unit (g, kg, quintal, tonne, ml, l, piece, stick, packet, box, bottle, plant, tree; area acre, hectare, sqm, bigha, katha, lessa); tola, mithqal, seer, maund only as helper lines</t>
  </si>
  <si>
    <t xml:space="preserve">Signed-in seller (listing form)</t>
  </si>
  <si>
    <t xml:space="preserve">unitCode</t>
  </si>
  <si>
    <t xml:space="preserve">GET /v1/units?itemType=</t>
  </si>
  <si>
    <t xml:space="preserve">units.code (value stored by M05 listings.unit_code)</t>
  </si>
  <si>
    <t xml:space="preserve">M01-FR-UNT-001, M01-FR-UNT-002, M01-FR-UNT-004, M01-FR-UNT-005</t>
  </si>
  <si>
    <t xml:space="preserve">M01-TC-021, M01-TC-024, M01-TC-027</t>
  </si>
  <si>
    <t xml:space="preserve">M01-6 §6; M01-5 §3, §5; M01-3 §3, §4, §7; M01-2 §4</t>
  </si>
  <si>
    <t xml:space="preserve">M01-S04-F02</t>
  </si>
  <si>
    <t xml:space="preserve">State (for bigha, katha and lessa)</t>
  </si>
  <si>
    <t xml:space="preserve">m01.s04.state.label</t>
  </si>
  <si>
    <t xml:space="preserve">Yes (for bigha, katha, lessa)</t>
  </si>
  <si>
    <t xml:space="preserve">only states with a factor (area_unit_factors); ISO 3166-2 code, e.g. IN-AS; missing factor → unit not offered</t>
  </si>
  <si>
    <t xml:space="preserve">regionCode</t>
  </si>
  <si>
    <t xml:space="preserve">area_unit_factors.region_code (value stored by M05 on the listing)</t>
  </si>
  <si>
    <t xml:space="preserve">M01-FR-UNT-003, M01-FR-UNT-009</t>
  </si>
  <si>
    <t xml:space="preserve">M01-TC-025, M01-TC-026, M01-TC-189</t>
  </si>
  <si>
    <t xml:space="preserve">M01-S04-F03</t>
  </si>
  <si>
    <t xml:space="preserve">Price field</t>
  </si>
  <si>
    <t xml:space="preserve">m01.s04.price_field.label</t>
  </si>
  <si>
    <t xml:space="preserve">Number</t>
  </si>
  <si>
    <t xml:space="preserve">amount per metric or count unit (“per ml”, “per kg”, “per piece”); stored with its currency code; never converted between currencies</t>
  </si>
  <si>
    <t xml:space="preserve">price (M05)</t>
  </si>
  <si>
    <t xml:space="preserve">— (M05 listing API)</t>
  </si>
  <si>
    <t xml:space="preserve">— (stored by M05 on the listing; Module 1 tables store no money, M01-5 §1)</t>
  </si>
  <si>
    <t xml:space="preserve">M01-FR-UNT-004, M01-FR-LOC-007</t>
  </si>
  <si>
    <t xml:space="preserve">M01-TC-021, M01-TC-028</t>
  </si>
  <si>
    <t xml:space="preserve">M01-S04-F04</t>
  </si>
  <si>
    <t xml:space="preserve">Currency (shown before the amount)</t>
  </si>
  <si>
    <t xml:space="preserve">m01.s04.currency.text</t>
  </si>
  <si>
    <t xml:space="preserve">fixed by account: ₹ (INR) for India, $ (USD) for others</t>
  </si>
  <si>
    <t xml:space="preserve">INR (IN) / USD (others)</t>
  </si>
  <si>
    <t xml:space="preserve">currency</t>
  </si>
  <si>
    <t xml:space="preserve">countries.currency</t>
  </si>
  <si>
    <t xml:space="preserve">char(3)</t>
  </si>
  <si>
    <t xml:space="preserve">M01-FR-LOC-007, M01-FR-UNT-004</t>
  </si>
  <si>
    <t xml:space="preserve">M01-TC-108</t>
  </si>
  <si>
    <t xml:space="preserve">M01-S04-F05</t>
  </si>
  <si>
    <t xml:space="preserve">Price helper “Know your price per tola?” — “Price per tola (oil) ₹ [6000] → ₹500 per ml” (Use this price)</t>
  </si>
  <si>
    <t xml:space="preserve">m01.s04.price_helper.label</t>
  </si>
  <si>
    <t xml:space="preserve">price per traditional unit → metric price (tola oil = 12 ml; tola wood = 11.66 g); only the metric price is stored</t>
  </si>
  <si>
    <t xml:space="preserve">helperPrice · traditionalUnit</t>
  </si>
  <si>
    <t xml:space="preserve">GET /v1/units/convert</t>
  </si>
  <si>
    <t xml:space="preserve">— (not stored; UnitService.fromHelper)</t>
  </si>
  <si>
    <t xml:space="preserve">M01-FR-UNT-007, M01-FR-UNT-002</t>
  </si>
  <si>
    <t xml:space="preserve">M01-TC-022</t>
  </si>
  <si>
    <t xml:space="preserve">M01-S04-F06</t>
  </si>
  <si>
    <t xml:space="preserve">Converted metric price (“→ ₹500 per ml”)</t>
  </si>
  <si>
    <t xml:space="preserve">m01.s04.converted_metric_price.text</t>
  </si>
  <si>
    <t xml:space="preserve">fills the metric price field</t>
  </si>
  <si>
    <t xml:space="preserve">metricPrice</t>
  </si>
  <si>
    <t xml:space="preserve">— (derived: UnitService.fromHelper)</t>
  </si>
  <si>
    <t xml:space="preserve">M01-FR-UNT-007</t>
  </si>
  <si>
    <t xml:space="preserve">M01-S04-F07</t>
  </si>
  <si>
    <t xml:space="preserve">Price display (listing card)</t>
  </si>
  <si>
    <t xml:space="preserve">Main price line “₹500 / ml”</t>
  </si>
  <si>
    <t xml:space="preserve">m01.s04.main_price_line.text</t>
  </si>
  <si>
    <t xml:space="preserve">metric or count unit</t>
  </si>
  <si>
    <t xml:space="preserve">Public</t>
  </si>
  <si>
    <t xml:space="preserve">price · unitCode</t>
  </si>
  <si>
    <t xml:space="preserve">— (M05 listing price + units.label_key)</t>
  </si>
  <si>
    <t xml:space="preserve">M01-FR-UNT-004</t>
  </si>
  <si>
    <t xml:space="preserve">M01-TC-021</t>
  </si>
  <si>
    <t xml:space="preserve">M01-S04-F08</t>
  </si>
  <si>
    <t xml:space="preserve">Helper line in grey “≈ ₹6,000 / tola”</t>
  </si>
  <si>
    <t xml:space="preserve">m01.s04.helper_line_grey.text</t>
  </si>
  <si>
    <t xml:space="preserve">helper units per category and viewer country (setting units.helper_units; countries.helper_units); money rounded to 2 decimals with ≈; quantities to 2 significant decimals</t>
  </si>
  <si>
    <t xml:space="preserve">helperPrices[]</t>
  </si>
  <si>
    <t xml:space="preserve">— (derived: units.factor_to_base; countries.helper_units)</t>
  </si>
  <si>
    <t xml:space="preserve">numeric(18,6) (factor)</t>
  </si>
  <si>
    <t xml:space="preserve">M01-FR-UNT-004, M01-FR-UNT-006, M01-FR-UNT-008</t>
  </si>
  <si>
    <t xml:space="preserve">M01-TC-021, M01-TC-071, M01-TC-107</t>
  </si>
  <si>
    <t xml:space="preserve">M01-S04-F09</t>
  </si>
  <si>
    <t xml:space="preserve">Guide price line “≈ AED 22 / ml (guide only)” (info icon: “Converted with today’s rate for your guidance. The seller’s price is in {currency}.”)</t>
  </si>
  <si>
    <t xml:space="preserve">m01.s04.guide_price_line.text</t>
  </si>
  <si>
    <t xml:space="preserve">for viewers outside India / the listing currency; viewer’s guide currency (user_preferences.guide_currency, default countries.guide_currency); rounded to 2 significant figures; hidden when rates are older than 48 h (fx.hide_after_hours 24–168) or guide switched off; never used for sorting, filtering, billing or quotations</t>
  </si>
  <si>
    <t xml:space="preserve">guidePrice · guideCurrency</t>
  </si>
  <si>
    <t xml:space="preserve">GET /v1/fx/guide-rates</t>
  </si>
  <si>
    <t xml:space="preserve">— (derived: fx_rates.rate × price; never stored)</t>
  </si>
  <si>
    <t xml:space="preserve">numeric(18,8) (fx_rates.rate)</t>
  </si>
  <si>
    <t xml:space="preserve">M01-FR-CTY-005, M01-FR-CTY-006, M01-FR-CTY-007, M01-FR-UNT-006</t>
  </si>
  <si>
    <t xml:space="preserve">M01-TC-068, M01-TC-069, M01-TC-070, M01-TC-120</t>
  </si>
  <si>
    <t xml:space="preserve">M01-S04-F10</t>
  </si>
  <si>
    <t xml:space="preserve">Area display “2 bigha (Assam) · ≈ 0.66 acre”</t>
  </si>
  <si>
    <t xml:space="preserve">m01.s04.area_display.text</t>
  </si>
  <si>
    <t xml:space="preserve">state-based units show the state; ≈ acres from area_unit_factors.sqm_per_unit ÷ 4,046.86</t>
  </si>
  <si>
    <t xml:space="preserve">area · areaAcres</t>
  </si>
  <si>
    <t xml:space="preserve">— (derived: area_unit_factors.sqm_per_unit; units acre factor)</t>
  </si>
  <si>
    <t xml:space="preserve">numeric(14,4) (sqm_per_unit)</t>
  </si>
  <si>
    <t xml:space="preserve">M01-TC-025, M01-TC-189</t>
  </si>
  <si>
    <t xml:space="preserve">M01-S05-F01  ⚠ OI-17</t>
  </si>
  <si>
    <t xml:space="preserve">Banner</t>
  </si>
  <si>
    <t xml:space="preserve">Choice — Accept all · Reject all · Choose (“We use essential cookies to run OudhTrade. With your permission, we’d also like to use analytics and marketing cookies …”)</t>
  </si>
  <si>
    <t xml:space="preserve">m01.s05.choice_accept.label</t>
  </si>
  <si>
    <t xml:space="preserve">Choice</t>
  </si>
  <si>
    <t xml:space="preserve">No (banner does not block browsing)</t>
  </si>
  <si>
    <t xml:space="preserve">three buttons of equal size and style; no pre-ticked boxes; same banner in all countries; remembered 12 months (setting cookies.consent_months 6–12), then asked again</t>
  </si>
  <si>
    <t xml:space="preserve">non-essential off until chosen</t>
  </si>
  <si>
    <t xml:space="preserve">Public (visitors and signed-in users)</t>
  </si>
  <si>
    <t xml:space="preserve">hasAnalyticsConsent · hasMarketingConsent</t>
  </si>
  <si>
    <t xml:space="preserve">cookie_consents.has_analytics_consent / has_marketing_consent (+ banner_version, chosen_at, expires_at)</t>
  </si>
  <si>
    <t xml:space="preserve">boolean / boolean</t>
  </si>
  <si>
    <t xml:space="preserve">M01-FR-CKE-001, M01-FR-CKE-002, M01-FR-CKE-003, M01-FR-CKE-005, M01-FR-CKE-006</t>
  </si>
  <si>
    <t xml:space="preserve">M01-TC-056, M01-TC-057, M01-TC-058, M01-TC-115</t>
  </si>
  <si>
    <t xml:space="preserve">M01-6 §8; M01-5 §10.3; M01-4 §6; M01-2 §11</t>
  </si>
  <si>
    <t xml:space="preserve">M01-S05-F02</t>
  </si>
  <si>
    <t xml:space="preserve">Choose panel (Cookie settings)</t>
  </si>
  <si>
    <t xml:space="preserve">Essential (always on, explained)</t>
  </si>
  <si>
    <t xml:space="preserve">m01.s05.essential.text</t>
  </si>
  <si>
    <t xml:space="preserve">always on</t>
  </si>
  <si>
    <t xml:space="preserve">On</t>
  </si>
  <si>
    <t xml:space="preserve">— (not stored; always on)</t>
  </si>
  <si>
    <t xml:space="preserve">M01-FR-CKE-001</t>
  </si>
  <si>
    <t xml:space="preserve">M01-TC-056</t>
  </si>
  <si>
    <t xml:space="preserve">M01-S05-F03  ⚠ OI-10</t>
  </si>
  <si>
    <t xml:space="preserve">Analytics</t>
  </si>
  <si>
    <t xml:space="preserve">m01.s05.analytics.label</t>
  </si>
  <si>
    <t xml:space="preserve">on / off; analytics scripts load only after consent</t>
  </si>
  <si>
    <t xml:space="preserve">hasAnalyticsConsent</t>
  </si>
  <si>
    <t xml:space="preserve">cookie_consents.has_analytics_consent</t>
  </si>
  <si>
    <t xml:space="preserve">M01-FR-CKE-001, M01-FR-CKE-004, M01-FR-CKE-005</t>
  </si>
  <si>
    <t xml:space="preserve">M01-TC-059, M01-TC-060</t>
  </si>
  <si>
    <t xml:space="preserve">M01-S05-F04</t>
  </si>
  <si>
    <t xml:space="preserve">Marketing</t>
  </si>
  <si>
    <t xml:space="preserve">m01.s05.marketing.label</t>
  </si>
  <si>
    <t xml:space="preserve">on / off; marketing tags load only after consent</t>
  </si>
  <si>
    <t xml:space="preserve">hasMarketingConsent</t>
  </si>
  <si>
    <t xml:space="preserve">cookie_consents.has_marketing_consent</t>
  </si>
  <si>
    <t xml:space="preserve">M01-S06-F01  ⚠ OI-12</t>
  </si>
  <si>
    <t xml:space="preserve">List</t>
  </si>
  <si>
    <t xml:space="preserve">Filter (sign-ins, changes, document views, agent actions)</t>
  </si>
  <si>
    <t xml:space="preserve">m01.s06.filter.label</t>
  </si>
  <si>
    <t xml:space="preserve">Filter</t>
  </si>
  <si>
    <t xml:space="preserve">sign-ins · changes · document views · agent actions</t>
  </si>
  <si>
    <t xml:space="preserve">all</t>
  </si>
  <si>
    <t xml:space="preserve">Signed-in user (own records)</t>
  </si>
  <si>
    <t xml:space="preserve">action (filter)</t>
  </si>
  <si>
    <t xml:space="preserve">GET /v1/me/activity</t>
  </si>
  <si>
    <t xml:space="preserve">audit_log.action (grouped into the four filter kinds)</t>
  </si>
  <si>
    <t xml:space="preserve">M01-FR-AUD-005</t>
  </si>
  <si>
    <t xml:space="preserve">M01-6 §9; M01-5 §7.1; M01-3 §4</t>
  </si>
  <si>
    <t xml:space="preserve">M01-S06-F02</t>
  </si>
  <si>
    <t xml:space="preserve">Event (e.g. “Signed in”, “Phone number changed”, “Your GST certificate was viewed”, “updated listing ‘Agarwood chips A grade’”)</t>
  </si>
  <si>
    <t xml:space="preserve">m01.s06.event.column</t>
  </si>
  <si>
    <t xml:space="preserve">Column</t>
  </si>
  <si>
    <t xml:space="preserve">newest first</t>
  </si>
  <si>
    <t xml:space="preserve">action · targetType · targetId</t>
  </si>
  <si>
    <t xml:space="preserve">audit_log.action + audit_log.target_type / target_id (target name resolved by the owning module)</t>
  </si>
  <si>
    <t xml:space="preserve">text / text / uuid</t>
  </si>
  <si>
    <t xml:space="preserve">M01-TC-045</t>
  </si>
  <si>
    <t xml:space="preserve">M01-S06-F03</t>
  </si>
  <si>
    <t xml:space="preserve">Device and browser (“Chrome on Android”)</t>
  </si>
  <si>
    <t xml:space="preserve">m01.s06.device_browser.column</t>
  </si>
  <si>
    <t xml:space="preserve">sign-in rows</t>
  </si>
  <si>
    <t xml:space="preserve">userAgent</t>
  </si>
  <si>
    <t xml:space="preserve">audit_log.user_agent</t>
  </si>
  <si>
    <t xml:space="preserve">M01-S06-F04  ⚠ OI-11</t>
  </si>
  <si>
    <t xml:space="preserve">Place (“Guwahati, IN”)</t>
  </si>
  <si>
    <t xml:space="preserve">m01.s06.place.column</t>
  </si>
  <si>
    <t xml:space="preserve">place</t>
  </si>
  <si>
    <t xml:space="preserve">audit_log.geo_city / geo_country (looked up once from the IP when the sign-in is recorded)</t>
  </si>
  <si>
    <t xml:space="preserve">text / char(2)</t>
  </si>
  <si>
    <t xml:space="preserve">M01-S06-F05</t>
  </si>
  <si>
    <t xml:space="preserve">Date and time (“24 Sep 2026, 9:14 AM”)</t>
  </si>
  <si>
    <t xml:space="preserve">m01.s06.date_time.column</t>
  </si>
  <si>
    <t xml:space="preserve">“DD Mon YYYY”, time in the user’s time zone</t>
  </si>
  <si>
    <t xml:space="preserve">occurredAt</t>
  </si>
  <si>
    <t xml:space="preserve">audit_log.occurred_at</t>
  </si>
  <si>
    <t xml:space="preserve">timestamptz</t>
  </si>
  <si>
    <t xml:space="preserve">M01-FR-AUD-005, M01-FR-LOC-005</t>
  </si>
  <si>
    <t xml:space="preserve">M01-S06-F06</t>
  </si>
  <si>
    <t xml:space="preserve">Who acted (“OudhTrade verification team”, “Field agent R. Das”)</t>
  </si>
  <si>
    <t xml:space="preserve">m01.s06.who_acted.column</t>
  </si>
  <si>
    <t xml:space="preserve">staff shown as a team / role; field agents by name</t>
  </si>
  <si>
    <t xml:space="preserve">actorType · actorRole · actorId</t>
  </si>
  <si>
    <t xml:space="preserve">audit_log.actor_type / actor_role / actor_id (name from M02)</t>
  </si>
  <si>
    <t xml:space="preserve">M01-S07-F01</t>
  </si>
  <si>
    <t xml:space="preserve">404</t>
  </si>
  <si>
    <t xml:space="preserve">404 page</t>
  </si>
  <si>
    <t xml:space="preserve">m01.s07.404_page.text</t>
  </si>
  <si>
    <t xml:space="preserve">Page</t>
  </si>
  <si>
    <t xml:space="preserve">“We couldn’t find that page.” Search box · Browse categories · Help centre · “Check service status” (status.oudhtrade.com)</t>
  </si>
  <si>
    <t xml:space="preserve">M01-FR-API-004, M01-FR-OBS-006</t>
  </si>
  <si>
    <t xml:space="preserve">M01-TC-066</t>
  </si>
  <si>
    <t xml:space="preserve">M01-6 §10; M01-4 §7; M01-3 §4.3, §10</t>
  </si>
  <si>
    <t xml:space="preserve">M01-S07-F02  ⚠ OI-13</t>
  </si>
  <si>
    <t xml:space="preserve">500</t>
  </si>
  <si>
    <t xml:space="preserve">500 page</t>
  </si>
  <si>
    <t xml:space="preserve">m01.s07.500_page.text</t>
  </si>
  <si>
    <t xml:space="preserve">“Something went wrong on our side.” Try again · Help centre · “Reference: &lt;request ID&gt;” · “Check service status”</t>
  </si>
  <si>
    <t xml:space="preserve">requestId</t>
  </si>
  <si>
    <t xml:space="preserve">— (error format of every API: error.requestId)</t>
  </si>
  <si>
    <t xml:space="preserve">— (request ID from the error response; not stored in M01 tables)</t>
  </si>
  <si>
    <t xml:space="preserve">M01-FR-API-002, M01-FR-API-004, M01-FR-OBS-001, M01-FR-OBS-006</t>
  </si>
  <si>
    <t xml:space="preserve">M01-TC-064, M01-TC-066, M01-TC-067</t>
  </si>
  <si>
    <t xml:space="preserve">M01-S07-F03  ⚠ OI-15, OI-16</t>
  </si>
  <si>
    <t xml:space="preserve">Maintenance</t>
  </si>
  <si>
    <t xml:space="preserve">Maintenance page</t>
  </si>
  <si>
    <t xml:space="preserve">m01.s07.maintenance_page.text</t>
  </si>
  <si>
    <t xml:space="preserve">“OudhTrade is being updated.” “Expected back: {time}” in the user’s time zone (no line when empty) · “Check service status” · shown while full maintenance is on</t>
  </si>
  <si>
    <t xml:space="preserve">expectedBackAt</t>
  </si>
  <si>
    <t xml:space="preserve">/status/maintenance.json (CDN file written when the setting is published)</t>
  </si>
  <si>
    <t xml:space="preserve">setting maintenance.expected_back_at</t>
  </si>
  <si>
    <t xml:space="preserve">M01-FR-API-004, M01-FR-API-009, M01-FR-OBS-006</t>
  </si>
  <si>
    <t xml:space="preserve">M01-TC-213, M01-TC-227, M01-TC-235</t>
  </si>
  <si>
    <t xml:space="preserve">M01-S07-F04  ⚠ OI-14</t>
  </si>
  <si>
    <t xml:space="preserve">Offline</t>
  </si>
  <si>
    <t xml:space="preserve">Offline page</t>
  </si>
  <si>
    <t xml:space="preserve">m01.s07.offline_page.text</t>
  </si>
  <si>
    <t xml:space="preserve">“You’re offline. We’ll retry when you’re connected.” (M01-4 §7: “You’re offline — we’ll retry when you’re back online”; uploads resume automatically)</t>
  </si>
  <si>
    <t xml:space="preserve">— (client state)</t>
  </si>
  <si>
    <t xml:space="preserve">M01-S07-F05</t>
  </si>
  <si>
    <t xml:space="preserve">Too many requests</t>
  </si>
  <si>
    <t xml:space="preserve">Too many requests page</t>
  </si>
  <si>
    <t xml:space="preserve">m01.s07.too_many_requests.text</t>
  </si>
  <si>
    <t xml:space="preserve">“You’re doing this too often. Please try again in {time}.” — {time} is the real wait from the rate limit (Retry-After) and counts down, e.g. “2 minutes”</t>
  </si>
  <si>
    <t xml:space="preserve">“You’re doing this too often. Please try again in {time}.” (RATE_LIMITED 429)</t>
  </si>
  <si>
    <t xml:space="preserve">retryAfter</t>
  </si>
  <si>
    <t xml:space="preserve">— (any endpoint → 429 with Retry-After)</t>
  </si>
  <si>
    <t xml:space="preserve">— (derived: Retry-After header)</t>
  </si>
  <si>
    <t xml:space="preserve">M01-FR-RTL-003, M01-FR-API-006</t>
  </si>
  <si>
    <t xml:space="preserve">M01-TC-065, M01-TC-084, M01-TC-132</t>
  </si>
  <si>
    <t xml:space="preserve">M01-S07-F06</t>
  </si>
  <si>
    <t xml:space="preserve">Blocked country</t>
  </si>
  <si>
    <t xml:space="preserve">Blocked country page</t>
  </si>
  <si>
    <t xml:space="preserve">m01.s07.blocked_country_page.text</t>
  </si>
  <si>
    <t xml:space="preserve">“OudhTrade isn’t available in your country.” Link to Terms; stopped at the edge (WAF geo rule synced from the Country table)</t>
  </si>
  <si>
    <t xml:space="preserve">“OudhTrade isn’t available in your country.” (COUNTRY_BLOCKED 451)</t>
  </si>
  <si>
    <t xml:space="preserve">— (edge / sign-up)</t>
  </si>
  <si>
    <t xml:space="preserve">countries.status (= blocked)</t>
  </si>
  <si>
    <t xml:space="preserve">M01-FR-SEC-004, M01-FR-CTY-003</t>
  </si>
  <si>
    <t xml:space="preserve">M01-TC-089</t>
  </si>
  <si>
    <t xml:space="preserve">M01-S08-F01</t>
  </si>
  <si>
    <t xml:space="preserve">Report a security issue page — no form (“The page has no form and stores nothing.”)</t>
  </si>
  <si>
    <t xml:space="preserve">m01.s08.report_security_issue.text</t>
  </si>
  <si>
    <t xml:space="preserve">content from the translation store (security_page.*): what to report · how to report (security contact email from security.txt) · what to include · what not to do · when we reply · link to report abuse or a listing</t>
  </si>
  <si>
    <t xml:space="preserve">Public (no sign-in)</t>
  </si>
  <si>
    <t xml:space="preserve">GET /v1/i18n/{locale} · GET /.well-known/security.txt</t>
  </si>
  <si>
    <t xml:space="preserve">translations.text (keys security_page.*)</t>
  </si>
  <si>
    <t xml:space="preserve">M01-FR-SEC-010</t>
  </si>
  <si>
    <t xml:space="preserve">M01-6 §10.1; M01-4 §1; M01-3 §4, §11</t>
  </si>
  <si>
    <t xml:space="preserve">M01-S09-F01  ⚠ OI-19</t>
  </si>
  <si>
    <t xml:space="preserve">Language</t>
  </si>
  <si>
    <t xml:space="preserve">m01.s09.language.label</t>
  </si>
  <si>
    <t xml:space="preserve">English only at launch (“More languages coming soon”); later order: Arabic; Hindi, Assamese, Bengali; Chinese, Japanese; each change saves at once (“Saved.”)</t>
  </si>
  <si>
    <t xml:space="preserve">en</t>
  </si>
  <si>
    <t xml:space="preserve">“We couldn’t save your preferences. Try again.”</t>
  </si>
  <si>
    <t xml:space="preserve">language</t>
  </si>
  <si>
    <t xml:space="preserve">GET · PUT /v1/me/preferences</t>
  </si>
  <si>
    <t xml:space="preserve">user_preferences.language</t>
  </si>
  <si>
    <t xml:space="preserve">M01-FR-LOC-001, M01-FR-LOC-008</t>
  </si>
  <si>
    <t xml:space="preserve">M01-6 §7, §7.1; M01-5 §4.2; M01-3 §4; M01-4 §3</t>
  </si>
  <si>
    <t xml:space="preserve">M01-S09-F02</t>
  </si>
  <si>
    <t xml:space="preserve">Number format (Indian or international)</t>
  </si>
  <si>
    <t xml:space="preserve">m01.s09.number_format.label</t>
  </si>
  <si>
    <t xml:space="preserve">indian (₹1,00,000; ₹1.5 lakh) or international (₹100,000; ₹150K)</t>
  </si>
  <si>
    <t xml:space="preserve">from the Country table (Indian for India-based accounts)</t>
  </si>
  <si>
    <t xml:space="preserve">numberStyle</t>
  </si>
  <si>
    <t xml:space="preserve">user_preferences.number_style</t>
  </si>
  <si>
    <t xml:space="preserve">M01-FR-LOC-003, M01-FR-LOC-004</t>
  </si>
  <si>
    <t xml:space="preserve">M01-TC-031, M01-TC-032, M01-TC-033</t>
  </si>
  <si>
    <t xml:space="preserve">M01-S09-F03</t>
  </si>
  <si>
    <t xml:space="preserve">Guide currency (e.g. AED, or “Don’t show”)</t>
  </si>
  <si>
    <t xml:space="preserve">m01.s09.guide_currency.label</t>
  </si>
  <si>
    <t xml:space="preserve">currencies from the Country table (setting countries.guide_currencies: AED, SAR, QAR, KWD, OMR, BHD, SGD, MYR, IDR, THB, VND, HKD, TWD, CNY, JPY, KRW, EUR, GBP, INR, USD) or “Don’t show”</t>
  </si>
  <si>
    <t xml:space="preserve">from the Country table (countries.guide_currency)</t>
  </si>
  <si>
    <t xml:space="preserve">guideCurrency · isGuideShown</t>
  </si>
  <si>
    <t xml:space="preserve">user_preferences.guide_currency / is_guide_shown</t>
  </si>
  <si>
    <t xml:space="preserve">char(3) / boolean</t>
  </si>
  <si>
    <t xml:space="preserve">M01-FR-CTY-006, M01-FR-CTY-007</t>
  </si>
  <si>
    <t xml:space="preserve">M01-TC-069, M01-TC-120</t>
  </si>
  <si>
    <t xml:space="preserve">M01-S09-F04  ⚠ OI-18</t>
  </si>
  <si>
    <t xml:space="preserve">Time zone</t>
  </si>
  <si>
    <t xml:space="preserve">m01.s09.time_zone.label</t>
  </si>
  <si>
    <t xml:space="preserve">IANA name, e.g. Asia/Kolkata; a time zone the user chooses is never replaced automatically (time_zone_source = user)</t>
  </si>
  <si>
    <t xml:space="preserve">from country or browser (time_zone_source country / browser)</t>
  </si>
  <si>
    <t xml:space="preserve">timeZone · timeZoneSource</t>
  </si>
  <si>
    <t xml:space="preserve">user_preferences.time_zone / time_zone_source (M02 writes country or browser at sign-up; this page writes user)</t>
  </si>
  <si>
    <t xml:space="preserve">M01-FR-LOC-005</t>
  </si>
  <si>
    <t xml:space="preserve">M01-TC-215</t>
  </si>
  <si>
    <t xml:space="preserve">M01-S09-F05</t>
  </si>
  <si>
    <t xml:space="preserve">Footer (visitors)</t>
  </si>
  <si>
    <t xml:space="preserve">Language selector (footer)</t>
  </si>
  <si>
    <t xml:space="preserve">m01.s09.language_selector.label</t>
  </si>
  <si>
    <t xml:space="preserve">English only at launch; remembered on this device without tracking</t>
  </si>
  <si>
    <t xml:space="preserve">Public (visitors)</t>
  </si>
  <si>
    <t xml:space="preserve">— (browser only)</t>
  </si>
  <si>
    <t xml:space="preserve">— (essential first-party cookie ot_prefs, 12 months; no column; copied to user_preferences.language at sign-up / sign-in)</t>
  </si>
  <si>
    <t xml:space="preserve">M01-FR-LOC-001</t>
  </si>
  <si>
    <t xml:space="preserve">M01-6 §7, §7.1; M01-3 §4</t>
  </si>
  <si>
    <t xml:space="preserve">M01-S09-F06</t>
  </si>
  <si>
    <t xml:space="preserve">Number format switch (footer)</t>
  </si>
  <si>
    <t xml:space="preserve">m01.s09.number_format_switch.label</t>
  </si>
  <si>
    <t xml:space="preserve">Indian or international</t>
  </si>
  <si>
    <t xml:space="preserve">from browser country</t>
  </si>
  <si>
    <t xml:space="preserve">— (cookie ot_prefs; copied to user_preferences.number_style at sign-up / sign-in)</t>
  </si>
  <si>
    <t xml:space="preserve">M01-FR-LOC-003</t>
  </si>
  <si>
    <t xml:space="preserve">M01-6 §7; M01-4 §3; M01-3 §4</t>
  </si>
  <si>
    <t xml:space="preserve">M01-S09-F07</t>
  </si>
  <si>
    <t xml:space="preserve">Guide-currency switch (footer)</t>
  </si>
  <si>
    <t xml:space="preserve">m01.s09.guide_currency_switch.label</t>
  </si>
  <si>
    <t xml:space="preserve">guide currencies or “Don’t show”</t>
  </si>
  <si>
    <t xml:space="preserve">from the Country table</t>
  </si>
  <si>
    <t xml:space="preserve">guideCurrency</t>
  </si>
  <si>
    <t xml:space="preserve">— (cookie ot_prefs; copied to user_preferences.guide_currency at sign-up / sign-in)</t>
  </si>
  <si>
    <t xml:space="preserve">M01-FR-CTY-006</t>
  </si>
  <si>
    <t xml:space="preserve">M01-TC-069</t>
  </si>
  <si>
    <t xml:space="preserve">M01-AD-01-F01</t>
  </si>
  <si>
    <t xml:space="preserve">Search box (name, key or description)</t>
  </si>
  <si>
    <t xml:space="preserve">m01.ad01.settings_editor.search_box.label</t>
  </si>
  <si>
    <t xml:space="preserve">Search</t>
  </si>
  <si>
    <t xml:space="preserve">name, key or description; empty: “No settings match ‘{text}’.”</t>
  </si>
  <si>
    <t xml:space="preserve">Staff — view: Super Admin, Admin, Moderator, Finance, Content Editor, Support; edit: Super Admin, Admin</t>
  </si>
  <si>
    <t xml:space="preserve">q (proposal)</t>
  </si>
  <si>
    <t xml:space="preserve">GET /v1/admin/settings</t>
  </si>
  <si>
    <t xml:space="preserve">— (derived: search over the settings register)</t>
  </si>
  <si>
    <t xml:space="preserve">M01-FR-CFG-004, M01-FR-CFG-006</t>
  </si>
  <si>
    <t xml:space="preserve">M01-TC-172</t>
  </si>
  <si>
    <t xml:space="preserve">M01-6 §12.2; M01-3 §4.2; M01-5 §8.1; M01-2 §18</t>
  </si>
  <si>
    <t xml:space="preserve">M01-AD-01-F02</t>
  </si>
  <si>
    <t xml:space="preserve">Module group (M01 Platform, M02 Identity…)</t>
  </si>
  <si>
    <t xml:space="preserve">m01.ad01.settings_editor.module_group.column</t>
  </si>
  <si>
    <t xml:space="preserve">settings grouped by module</t>
  </si>
  <si>
    <t xml:space="preserve">module (proposal)</t>
  </si>
  <si>
    <t xml:space="preserve">— (settings register: owner module)</t>
  </si>
  <si>
    <t xml:space="preserve">M01-FR-CFG-006</t>
  </si>
  <si>
    <t xml:space="preserve">M01-AD-01-F03  ⚠ OI-23</t>
  </si>
  <si>
    <t xml:space="preserve">Name</t>
  </si>
  <si>
    <t xml:space="preserve">m01.ad01.settings_editor.name.column</t>
  </si>
  <si>
    <t xml:space="preserve">name (proposal)</t>
  </si>
  <si>
    <t xml:space="preserve">— (no column: the register has only Key and What it controls)</t>
  </si>
  <si>
    <t xml:space="preserve">M01-AD-01-F04</t>
  </si>
  <si>
    <t xml:space="preserve">Key (e.g. files.photo.max_mb)</t>
  </si>
  <si>
    <t xml:space="preserve">m01.ad01.settings_editor.key.label</t>
  </si>
  <si>
    <t xml:space="preserve">only keys in the settings register exist</t>
  </si>
  <si>
    <t xml:space="preserve">key</t>
  </si>
  <si>
    <t xml:space="preserve">config_entries.key</t>
  </si>
  <si>
    <t xml:space="preserve">M01-AD-01-F05</t>
  </si>
  <si>
    <t xml:space="preserve">Current value</t>
  </si>
  <si>
    <t xml:space="preserve">m01.ad01.settings_editor.current_value.column</t>
  </si>
  <si>
    <t xml:space="preserve">published value (global scope)</t>
  </si>
  <si>
    <t xml:space="preserve">value</t>
  </si>
  <si>
    <t xml:space="preserve">config_entries.value (published version)</t>
  </si>
  <si>
    <t xml:space="preserve">jsonb</t>
  </si>
  <si>
    <t xml:space="preserve">M01-FR-CFG-001</t>
  </si>
  <si>
    <t xml:space="preserve">M01-TC-048, M01-TC-172</t>
  </si>
  <si>
    <t xml:space="preserve">M01-AD-01-F06</t>
  </si>
  <si>
    <t xml:space="preserve">Default value (from code)</t>
  </si>
  <si>
    <t xml:space="preserve">m01.ad01.settings_editor.default_value.column</t>
  </si>
  <si>
    <t xml:space="preserve">safe default in code</t>
  </si>
  <si>
    <t xml:space="preserve">defaultValue</t>
  </si>
  <si>
    <t xml:space="preserve">— (derived: default in code = register Default)</t>
  </si>
  <si>
    <t xml:space="preserve">M01-FR-CFG-002</t>
  </si>
  <si>
    <t xml:space="preserve">M01-TC-049, M01-TC-172</t>
  </si>
  <si>
    <t xml:space="preserve">M01-AD-01-F07</t>
  </si>
  <si>
    <t xml:space="preserve">Allowed values</t>
  </si>
  <si>
    <t xml:space="preserve">m01.ad01.settings_editor.allowed_values.column</t>
  </si>
  <si>
    <t xml:space="preserve">from the settings register</t>
  </si>
  <si>
    <t xml:space="preserve">allowed (proposal)</t>
  </si>
  <si>
    <t xml:space="preserve">— (settings register: Allowed)</t>
  </si>
  <si>
    <t xml:space="preserve">M01-AD-01-F08</t>
  </si>
  <si>
    <t xml:space="preserve">Number of overrides</t>
  </si>
  <si>
    <t xml:space="preserve">m01.ad01.settings_editor.number_overrides.column</t>
  </si>
  <si>
    <t xml:space="preserve">“Default: 15 MB. Current: 15 MB. 2 overrides.”</t>
  </si>
  <si>
    <t xml:space="preserve">overrideCount</t>
  </si>
  <si>
    <t xml:space="preserve">— (derived: count of config_entries with scope_type ≠ global)</t>
  </si>
  <si>
    <t xml:space="preserve">M01-FR-CFG-004</t>
  </si>
  <si>
    <t xml:space="preserve">M01-AD-01-F09</t>
  </si>
  <si>
    <t xml:space="preserve">One-line description</t>
  </si>
  <si>
    <t xml:space="preserve">m01.ad01.settings_editor.line_description.column</t>
  </si>
  <si>
    <t xml:space="preserve">description (proposal)</t>
  </si>
  <si>
    <t xml:space="preserve">— (settings register: What it controls)</t>
  </si>
  <si>
    <t xml:space="preserve">M01-AD-01-F10</t>
  </si>
  <si>
    <t xml:space="preserve">Level tag (“High impact” or none)</t>
  </si>
  <si>
    <t xml:space="preserve">m01.ad01.settings_editor.level_tag.column</t>
  </si>
  <si>
    <t xml:space="preserve">High or Other (register Level)</t>
  </si>
  <si>
    <t xml:space="preserve">“This setting is high impact. A Super Admin must approve the change.”</t>
  </si>
  <si>
    <t xml:space="preserve">level</t>
  </si>
  <si>
    <t xml:space="preserve">— (settings register: Level; config_versions.is_high_impact on drafts)</t>
  </si>
  <si>
    <t xml:space="preserve">M01-AD-01-F11</t>
  </si>
  <si>
    <t xml:space="preserve">Edit draft</t>
  </si>
  <si>
    <t xml:space="preserve">Value (Edit value)</t>
  </si>
  <si>
    <t xml:space="preserve">m01.ad01.settings_editor.value.label</t>
  </si>
  <si>
    <t xml:space="preserve">[control detail: Number · Switch · Text (by setting type)] type and allowed range from the settings register (see setting rows below)</t>
  </si>
  <si>
    <t xml:space="preserve">register Default</t>
  </si>
  <si>
    <t xml:space="preserve">Staff — edit: Super Admin, Admin</t>
  </si>
  <si>
    <t xml:space="preserve">“Enter a value between {min} and {max}.”</t>
  </si>
  <si>
    <t xml:space="preserve">PATCH /v1/admin/settings/{key} (draftId)</t>
  </si>
  <si>
    <t xml:space="preserve">config_entries.value</t>
  </si>
  <si>
    <t xml:space="preserve">M01-FR-CFG-002, M01-FR-CFG-006</t>
  </si>
  <si>
    <t xml:space="preserve">M01-AD-01-F12</t>
  </si>
  <si>
    <t xml:space="preserve">Override panel</t>
  </si>
  <si>
    <t xml:space="preserve">Override scope (account list, role, plan, category or country)</t>
  </si>
  <si>
    <t xml:space="preserve">m01.ad01.settings_editor.override_scope.label</t>
  </si>
  <si>
    <t xml:space="preserve">scope_type: global, country, category, plan, role, account_list</t>
  </si>
  <si>
    <t xml:space="preserve">“An override for this scope already exists — edit it instead.”</t>
  </si>
  <si>
    <t xml:space="preserve">scopeType</t>
  </si>
  <si>
    <t xml:space="preserve">POST /v1/admin/settings/{key}/overrides · DELETE …/overrides/{scope}</t>
  </si>
  <si>
    <t xml:space="preserve">config_entries.scope_type</t>
  </si>
  <si>
    <t xml:space="preserve">M01-FR-CFG-004, M01-FR-CFG-005</t>
  </si>
  <si>
    <t xml:space="preserve">M01-TC-076, M01-TC-135</t>
  </si>
  <si>
    <t xml:space="preserve">M01-AD-01-F13</t>
  </si>
  <si>
    <t xml:space="preserve">Override scope value (which account list, role, plan, category or country)</t>
  </si>
  <si>
    <t xml:space="preserve">m01.ad01.settings_editor.override_scope_value.label</t>
  </si>
  <si>
    <t xml:space="preserve">Text</t>
  </si>
  <si>
    <t xml:space="preserve">[control detail: Text / Dropdown] e.g. country code, category, plan code (M11 plans.code), role, account list</t>
  </si>
  <si>
    <t xml:space="preserve">scopeValue</t>
  </si>
  <si>
    <t xml:space="preserve">POST /v1/admin/settings/{key}/overrides</t>
  </si>
  <si>
    <t xml:space="preserve">config_entries.scope_value</t>
  </si>
  <si>
    <t xml:space="preserve">M01-AD-01-F14</t>
  </si>
  <si>
    <t xml:space="preserve">Override value</t>
  </si>
  <si>
    <t xml:space="preserve">m01.ad01.settings_editor.override_value.label</t>
  </si>
  <si>
    <t xml:space="preserve">[control detail: Number · Switch · Text (by setting type)] same allowed range as the setting</t>
  </si>
  <si>
    <t xml:space="preserve">M01-TC-076</t>
  </si>
  <si>
    <t xml:space="preserve">M01-AD-01-F15</t>
  </si>
  <si>
    <t xml:space="preserve">Override list — scope and value, most specific first</t>
  </si>
  <si>
    <t xml:space="preserve">m01.ad01.settings_editor.override_list_scope_value.column</t>
  </si>
  <si>
    <t xml:space="preserve">order: account list → role → plan → category → country → global</t>
  </si>
  <si>
    <t xml:space="preserve">overrides[]</t>
  </si>
  <si>
    <t xml:space="preserve">config_entries.scope_type / scope_value / value</t>
  </si>
  <si>
    <t xml:space="preserve">text / text / jsonb</t>
  </si>
  <si>
    <t xml:space="preserve">M01-FR-CFG-005</t>
  </si>
  <si>
    <t xml:space="preserve">M01-TC-135</t>
  </si>
  <si>
    <t xml:space="preserve">M01-AD-01-F16</t>
  </si>
  <si>
    <t xml:space="preserve">Common settings pattern (all settings screens)</t>
  </si>
  <si>
    <t xml:space="preserve">Main tab (every settings screen)</t>
  </si>
  <si>
    <t xml:space="preserve">Current published value (list row)</t>
  </si>
  <si>
    <t xml:space="preserve">common.settings.current_published_value.column</t>
  </si>
  <si>
    <t xml:space="preserve">per item of the screen</t>
  </si>
  <si>
    <t xml:space="preserve">list endpoint of each screen</t>
  </si>
  <si>
    <t xml:space="preserve">M01-FR-CFG-001, M01-FR-CFG-006</t>
  </si>
  <si>
    <t xml:space="preserve">M01-6 §12.1; M01-5 §8.1; M01-3 §4.2; M01-4 §10.1</t>
  </si>
  <si>
    <t xml:space="preserve">M01-AD-01-F17</t>
  </si>
  <si>
    <t xml:space="preserve">Change chip “Waiting for approval” / “Scheduled for {date time}”</t>
  </si>
  <si>
    <t xml:space="preserve">common.settings.change_chip.column</t>
  </si>
  <si>
    <t xml:space="preserve">shown when a change is waiting</t>
  </si>
  <si>
    <t xml:space="preserve">status · scheduledFor</t>
  </si>
  <si>
    <t xml:space="preserve">GET /v1/admin/config/versions?screen=&amp;status=</t>
  </si>
  <si>
    <t xml:space="preserve">config_versions.status / scheduled_for</t>
  </si>
  <si>
    <t xml:space="preserve">text / timestamptz</t>
  </si>
  <si>
    <t xml:space="preserve">M01-FR-CFG-006, M01-FR-CFG-009</t>
  </si>
  <si>
    <t xml:space="preserve">M01-TC-168</t>
  </si>
  <si>
    <t xml:space="preserve">M01-AD-01-F18</t>
  </si>
  <si>
    <t xml:space="preserve">“High impact” chip</t>
  </si>
  <si>
    <t xml:space="preserve">common.settings.high_impact.text</t>
  </si>
  <si>
    <t xml:space="preserve">set by ConfigService from the register level, never by the editor</t>
  </si>
  <si>
    <t xml:space="preserve">“This change is high impact. A Super Admin must approve it.”</t>
  </si>
  <si>
    <t xml:space="preserve">isHighImpact</t>
  </si>
  <si>
    <t xml:space="preserve">GET /v1/admin/config/versions/{id}</t>
  </si>
  <si>
    <t xml:space="preserve">config_versions.is_high_impact</t>
  </si>
  <si>
    <t xml:space="preserve">M01-TC-167, M01-TC-183</t>
  </si>
  <si>
    <t xml:space="preserve">M01-AD-01-F19</t>
  </si>
  <si>
    <t xml:space="preserve">Preview impact — What changes (each old value → new value, with its scope)</t>
  </si>
  <si>
    <t xml:space="preserve">common.settings.preview_impact_what_changes.text</t>
  </si>
  <si>
    <t xml:space="preserve">required before sending; Preview impact disabled until all fields are valid</t>
  </si>
  <si>
    <t xml:space="preserve">Staff — editor and approver</t>
  </si>
  <si>
    <t xml:space="preserve">changes[]</t>
  </si>
  <si>
    <t xml:space="preserve">POST /v1/admin/config/versions/{id}/preview</t>
  </si>
  <si>
    <t xml:space="preserve">— (derived: previewImpact; old vs new config_entries.value with scope_type / scope_value)</t>
  </si>
  <si>
    <t xml:space="preserve">M01-FR-CFG-008</t>
  </si>
  <si>
    <t xml:space="preserve">M01-TC-166</t>
  </si>
  <si>
    <t xml:space="preserve">M01-AD-01-F20</t>
  </si>
  <si>
    <t xml:space="preserve">Preview impact — Who is affected (counts)</t>
  </si>
  <si>
    <t xml:space="preserve">common.settings.preview_impact_who_affected.text</t>
  </si>
  <si>
    <t xml:space="preserve">counts where they can be worked out; else “Impact can’t be counted for this setting — see the example.”; no data source yet → “shown when data is available”</t>
  </si>
  <si>
    <t xml:space="preserve">affected[]</t>
  </si>
  <si>
    <t xml:space="preserve">— (derived: previewImpact)</t>
  </si>
  <si>
    <t xml:space="preserve">M01-AD-01-F21</t>
  </si>
  <si>
    <t xml:space="preserve">Preview impact — Example (one worked case)</t>
  </si>
  <si>
    <t xml:space="preserve">common.settings.preview_impact_example.text</t>
  </si>
  <si>
    <t xml:space="preserve">e.g. “A free-plan seller in India: photos per listing 10 → 12”</t>
  </si>
  <si>
    <t xml:space="preserve">example</t>
  </si>
  <si>
    <t xml:space="preserve">M01-AD-01-F22</t>
  </si>
  <si>
    <t xml:space="preserve">“Preview updated {time}” (approver)</t>
  </si>
  <si>
    <t xml:space="preserve">common.settings.preview_updated_time.text</t>
  </si>
  <si>
    <t xml:space="preserve">preview refreshed for the approver</t>
  </si>
  <si>
    <t xml:space="preserve">Staff — approver</t>
  </si>
  <si>
    <t xml:space="preserve">previewedAt (proposal)</t>
  </si>
  <si>
    <t xml:space="preserve">— (derived)</t>
  </si>
  <si>
    <t xml:space="preserve">M01-AD-01-F23</t>
  </si>
  <si>
    <t xml:space="preserve">“Why are you making this change?” (send for approval)</t>
  </si>
  <si>
    <t xml:space="preserve">common.settings.why_are_you.label</t>
  </si>
  <si>
    <t xml:space="preserve">Text area</t>
  </si>
  <si>
    <t xml:space="preserve">free text</t>
  </si>
  <si>
    <t xml:space="preserve">Staff — settings.edit (ai_budget.draft for AI budgets)</t>
  </si>
  <si>
    <t xml:space="preserve">“A reason is required.” (REASON_REQUIRED 400)</t>
  </si>
  <si>
    <t xml:space="preserve">submitReason</t>
  </si>
  <si>
    <t xml:space="preserve">POST /v1/admin/config/versions/{id}/submit</t>
  </si>
  <si>
    <t xml:space="preserve">config_versions.submit_reason (+ submitted_by / submitted_at)</t>
  </si>
  <si>
    <t xml:space="preserve">M01-TC-167, M01-TC-196</t>
  </si>
  <si>
    <t xml:space="preserve">M01-AD-01-F24</t>
  </si>
  <si>
    <t xml:space="preserve">Approve / Reject reason</t>
  </si>
  <si>
    <t xml:space="preserve">common.settings.approve_reject_reason.label</t>
  </si>
  <si>
    <t xml:space="preserve">free text; approver is not the editor; a Super Admin for high impact</t>
  </si>
  <si>
    <t xml:space="preserve">Staff — settings.approve_high (Super Admin) · settings.approve_other (Super Admin, Admin)</t>
  </si>
  <si>
    <t xml:space="preserve">“You made this change, so another person must approve it.” · “This change is high impact. A Super Admin must approve it.” (APPROVER_NOT_ALLOWED 403) · “A reason is required.”</t>
  </si>
  <si>
    <t xml:space="preserve">approveReason · rejectReason</t>
  </si>
  <si>
    <t xml:space="preserve">POST /v1/admin/config/versions/{id}/approve · POST …/reject</t>
  </si>
  <si>
    <t xml:space="preserve">config_versions.approve_reason / reject_reason (+ approved_by / approved_at, rejected_by / rejected_at)</t>
  </si>
  <si>
    <t xml:space="preserve">M01-TC-182, M01-TC-183, M01-TC-196</t>
  </si>
  <si>
    <t xml:space="preserve">M01-AD-01-F25</t>
  </si>
  <si>
    <t xml:space="preserve">Rejected chip “Not approved” with the approver’s reason</t>
  </si>
  <si>
    <t xml:space="preserve">common.settings.rejected_chip.text</t>
  </si>
  <si>
    <t xml:space="preserve">the draft goes back to the editor</t>
  </si>
  <si>
    <t xml:space="preserve">status · rejectReason</t>
  </si>
  <si>
    <t xml:space="preserve">config_versions.status (rejected) + reject_reason</t>
  </si>
  <si>
    <t xml:space="preserve">M01-FR-CFG-009</t>
  </si>
  <si>
    <t xml:space="preserve">M01-TC-196</t>
  </si>
  <si>
    <t xml:space="preserve">M01-AD-01-F26</t>
  </si>
  <si>
    <t xml:space="preserve">Publish — Schedule (date and time)</t>
  </si>
  <si>
    <t xml:space="preserve">common.settings.publish_schedule.label</t>
  </si>
  <si>
    <t xml:space="preserve">Date-time</t>
  </si>
  <si>
    <t xml:space="preserve">No (Publish now or Schedule)</t>
  </si>
  <si>
    <t xml:space="preserve">future date and time, shown in IST and in the staff member’s time zone</t>
  </si>
  <si>
    <t xml:space="preserve">Staff — settings.publish (Super Admin, Admin)</t>
  </si>
  <si>
    <t xml:space="preserve">“Publishing failed — the live settings did not change. Try again. Reference: {request ID}.”</t>
  </si>
  <si>
    <t xml:space="preserve">scheduledFor</t>
  </si>
  <si>
    <t xml:space="preserve">POST /v1/admin/config/versions/{id}/schedule (Publish now: POST …/publish)</t>
  </si>
  <si>
    <t xml:space="preserve">config_versions.scheduled_for (+ published_at / published_by)</t>
  </si>
  <si>
    <t xml:space="preserve">M01-FR-CFG-009, M01-FR-CFG-001</t>
  </si>
  <si>
    <t xml:space="preserve">M01-TC-168, M01-TC-196</t>
  </si>
  <si>
    <t xml:space="preserve">M01-AD-01-F27</t>
  </si>
  <si>
    <t xml:space="preserve">Cancel scheduled change — reason</t>
  </si>
  <si>
    <t xml:space="preserve">common.settings.cancel_scheduled_change_reason.label</t>
  </si>
  <si>
    <t xml:space="preserve">until the scheduled time</t>
  </si>
  <si>
    <t xml:space="preserve">Staff — settings.publish</t>
  </si>
  <si>
    <t xml:space="preserve">“A reason is required.”</t>
  </si>
  <si>
    <t xml:space="preserve">cancelReason</t>
  </si>
  <si>
    <t xml:space="preserve">DELETE /v1/admin/config/versions/{id}/schedule</t>
  </si>
  <si>
    <t xml:space="preserve">config_versions.cancel_reason (+ cancelled_by / cancelled_at)</t>
  </si>
  <si>
    <t xml:space="preserve">M01-AD-01-F28</t>
  </si>
  <si>
    <t xml:space="preserve">History</t>
  </si>
  <si>
    <t xml:space="preserve">History tab — Version number</t>
  </si>
  <si>
    <t xml:space="preserve">common.history.history_tab_version_number.column</t>
  </si>
  <si>
    <t xml:space="preserve">running number 1, 2, 3 …</t>
  </si>
  <si>
    <t xml:space="preserve">id</t>
  </si>
  <si>
    <t xml:space="preserve">config_versions.id</t>
  </si>
  <si>
    <t xml:space="preserve">int</t>
  </si>
  <si>
    <t xml:space="preserve">M01-TC-168, M01-TC-169</t>
  </si>
  <si>
    <t xml:space="preserve">M01-AD-01-F29</t>
  </si>
  <si>
    <t xml:space="preserve">History tab — Status</t>
  </si>
  <si>
    <t xml:space="preserve">common.history.history_tab_status.column</t>
  </si>
  <si>
    <t xml:space="preserve">draft, waiting for approval, approved, scheduled, published, rejected, cancelled, rolled back (stored: draft, waiting, approved, rejected, scheduled, published, cancelled, rolled_back)</t>
  </si>
  <si>
    <t xml:space="preserve">GET /v1/admin/config/versions</t>
  </si>
  <si>
    <t xml:space="preserve">config_versions.status</t>
  </si>
  <si>
    <t xml:space="preserve">M01-AD-01-F30</t>
  </si>
  <si>
    <t xml:space="preserve">History tab — Who made it</t>
  </si>
  <si>
    <t xml:space="preserve">common.history.history_tab_who_made.column</t>
  </si>
  <si>
    <t xml:space="preserve">createdBy</t>
  </si>
  <si>
    <t xml:space="preserve">config_versions.created_by</t>
  </si>
  <si>
    <t xml:space="preserve">M01-AD-01-F31</t>
  </si>
  <si>
    <t xml:space="preserve">History tab — Who approved it</t>
  </si>
  <si>
    <t xml:space="preserve">common.history.history_tab_who_approved.column</t>
  </si>
  <si>
    <t xml:space="preserve">approvedBy</t>
  </si>
  <si>
    <t xml:space="preserve">config_versions.approved_by</t>
  </si>
  <si>
    <t xml:space="preserve">M01-AD-01-F32  ⚠ OI-22</t>
  </si>
  <si>
    <t xml:space="preserve">History tab — When it was published</t>
  </si>
  <si>
    <t xml:space="preserve">common.history.history_tab_when_was.column</t>
  </si>
  <si>
    <t xml:space="preserve">date and time</t>
  </si>
  <si>
    <t xml:space="preserve">publishedAt</t>
  </si>
  <si>
    <t xml:space="preserve">config_versions.published_at</t>
  </si>
  <si>
    <t xml:space="preserve">M01-AD-01-F33</t>
  </si>
  <si>
    <t xml:space="preserve">History tab — Reason</t>
  </si>
  <si>
    <t xml:space="preserve">common.history.history_tab_reason.column</t>
  </si>
  <si>
    <t xml:space="preserve">reason of each step</t>
  </si>
  <si>
    <t xml:space="preserve">config_versions.submit_reason (also approve_reason, reject_reason, cancel_reason, rollback_reason)</t>
  </si>
  <si>
    <t xml:space="preserve">M01-AD-01-F34</t>
  </si>
  <si>
    <t xml:space="preserve">Compare — old and new values side by side</t>
  </si>
  <si>
    <t xml:space="preserve">common.history.compare_old_new_values.text</t>
  </si>
  <si>
    <t xml:space="preserve">entries[]</t>
  </si>
  <si>
    <t xml:space="preserve">config_entries.value (two versions)</t>
  </si>
  <si>
    <t xml:space="preserve">M01-TC-169</t>
  </si>
  <si>
    <t xml:space="preserve">M01-AD-01-F35</t>
  </si>
  <si>
    <t xml:space="preserve">Roll back — reason (“Roll back to version {n}? This makes a new draft that needs approval like any other change.”)</t>
  </si>
  <si>
    <t xml:space="preserve">common.history.roll_back_reason.label</t>
  </si>
  <si>
    <t xml:space="preserve">rollback is a new draft through steps 3–6</t>
  </si>
  <si>
    <t xml:space="preserve">Staff — settings.edit</t>
  </si>
  <si>
    <t xml:space="preserve">rollbackOf · rollbackReason</t>
  </si>
  <si>
    <t xml:space="preserve">POST /v1/admin/config/versions/{id}/rollback</t>
  </si>
  <si>
    <t xml:space="preserve">config_versions.rollback_of / rollback_reason</t>
  </si>
  <si>
    <t xml:space="preserve">int / text</t>
  </si>
  <si>
    <t xml:space="preserve">M01-TC-136, M01-TC-169, M01-TC-196</t>
  </si>
  <si>
    <t xml:space="preserve">M01-AD-01-F36  ⚠ OI-20</t>
  </si>
  <si>
    <t xml:space="preserve">Emergency off / Turn on under-attack mode — “Why is this an emergency?”</t>
  </si>
  <si>
    <t xml:space="preserve">common.settings.emergency_off_turn.label</t>
  </si>
  <si>
    <t xml:space="preserve">production only: switch a feature OFF or under-attack mode ON at once; live at once, audited, alerts all Super Admins</t>
  </si>
  <si>
    <t xml:space="preserve">Staff — settings.emergency_off (Super Admin or the on-call engineer)</t>
  </si>
  <si>
    <t xml:space="preserve">reason</t>
  </si>
  <si>
    <t xml:space="preserve">POST /v1/admin/config/emergency</t>
  </si>
  <si>
    <t xml:space="preserve">config_versions.submit_reason (emergency reason)</t>
  </si>
  <si>
    <t xml:space="preserve">M01-FR-CFG-010</t>
  </si>
  <si>
    <t xml:space="preserve">M01-TC-194</t>
  </si>
  <si>
    <t xml:space="preserve">M01-AD-01-F37  ⚠ OI-21</t>
  </si>
  <si>
    <t xml:space="preserve">Emergency chip “Emergency change — review due by {time}”</t>
  </si>
  <si>
    <t xml:space="preserve">common.settings.emergency_chip_review_due.text</t>
  </si>
  <si>
    <t xml:space="preserve">until a second Super Admin reviews it (within 24 hours)</t>
  </si>
  <si>
    <t xml:space="preserve">isEmergency · reviewedBy · reviewedAt</t>
  </si>
  <si>
    <t xml:space="preserve">POST /v1/admin/config/emergency/{versionId}/review</t>
  </si>
  <si>
    <t xml:space="preserve">config_versions.is_emergency / reviewed_by / reviewed_at (due = published_at + 24 h)</t>
  </si>
  <si>
    <t xml:space="preserve">boolean / uuid / timestamptz</t>
  </si>
  <si>
    <t xml:space="preserve">M01-AD-01-F38</t>
  </si>
  <si>
    <t xml:space="preserve">Import (production) — file exported from staging</t>
  </si>
  <si>
    <t xml:space="preserve">common.settings.import_file_exported_staging.label</t>
  </si>
  <si>
    <t xml:space="preserve">a published version exported from staging; loaded as a draft with its preview (“Imported from staging as a draft. Check the preview and send it for approval.”)</t>
  </si>
  <si>
    <t xml:space="preserve">Staff — settings.edit (import); settings.view (export)</t>
  </si>
  <si>
    <t xml:space="preserve">file</t>
  </si>
  <si>
    <t xml:space="preserve">POST /v1/admin/config/import (export: POST /v1/admin/config/export)</t>
  </si>
  <si>
    <t xml:space="preserve">— (creates a new config_versions draft)</t>
  </si>
  <si>
    <t xml:space="preserve">M01-FR-ENV-008, M01-FR-CFG-006</t>
  </si>
  <si>
    <t xml:space="preserve">M01-TC-105, M01-TC-171</t>
  </si>
  <si>
    <t xml:space="preserve">M01-AD-01-F39</t>
  </si>
  <si>
    <t xml:space="preserve">Edit conflict banner — unsaved values shown next to the new values</t>
  </si>
  <si>
    <t xml:space="preserve">common.settings.edit_conflict_banner_unsaved.text</t>
  </si>
  <si>
    <t xml:space="preserve">save refused when the record changed since it was opened</t>
  </si>
  <si>
    <t xml:space="preserve">Staff — editor</t>
  </si>
  <si>
    <t xml:space="preserve">“Changed by someone else — please reload.” (EDIT_CONFLICT 409)</t>
  </si>
  <si>
    <t xml:space="preserve">rowVersion</t>
  </si>
  <si>
    <t xml:space="preserve">PATCH /v1/admin/config/versions/{id} (or the screen endpoint with draftId)</t>
  </si>
  <si>
    <t xml:space="preserve">row_version (standard column of staff-edited tables, M01-5 §1.1)</t>
  </si>
  <si>
    <t xml:space="preserve">— (type not stated)</t>
  </si>
  <si>
    <t xml:space="preserve">M01-FR-CFG-007</t>
  </si>
  <si>
    <t xml:space="preserve">M01-TC-098, M01-TC-137, M01-TC-170</t>
  </si>
  <si>
    <t xml:space="preserve">M01-AD-01-F40</t>
  </si>
  <si>
    <t xml:space="preserve">Setting rows (register; screen M01-AD-01)</t>
  </si>
  <si>
    <t xml:space="preserve">Largest photo a user can upload (files.photo.max_mb)</t>
  </si>
  <si>
    <t xml:space="preserve">setting.files.photo.max_mb.name</t>
  </si>
  <si>
    <t xml:space="preserve">Allowed 1–50; unit MB; level High</t>
  </si>
  <si>
    <t xml:space="preserve">15</t>
  </si>
  <si>
    <t xml:space="preserve">Staff — view: all staff roles except field agents; edit: Super Admin, Admin; approve: Super Admin (high impact)</t>
  </si>
  <si>
    <t xml:space="preserve">setting files.photo.max_mb (config_entries.value)</t>
  </si>
  <si>
    <t xml:space="preserve">M01-FR-FIL-002</t>
  </si>
  <si>
    <t xml:space="preserve">M01-TC-003, M01-TC-048</t>
  </si>
  <si>
    <t xml:space="preserve">M01-2 §18; M01-6 §12.2; M01-2 FIL-002</t>
  </si>
  <si>
    <t xml:space="preserve">M01-AD-01-F41</t>
  </si>
  <si>
    <t xml:space="preserve">Photos on one listing (the first is the cover) (files.listing.photos_max)</t>
  </si>
  <si>
    <t xml:space="preserve">setting.files.listing.photos_max.name</t>
  </si>
  <si>
    <t xml:space="preserve">Allowed 1–30; unit photos; level High</t>
  </si>
  <si>
    <t xml:space="preserve">10</t>
  </si>
  <si>
    <t xml:space="preserve">setting files.listing.photos_max (config_entries.value)</t>
  </si>
  <si>
    <t xml:space="preserve">M01-TC-006, M01-TC-076, M01-TC-166</t>
  </si>
  <si>
    <t xml:space="preserve">M01-2 §18; M01-6 §12.2; M01-2 FIL-005</t>
  </si>
  <si>
    <t xml:space="preserve">M01-AD-01-F42</t>
  </si>
  <si>
    <t xml:space="preserve">Short side below which the “small photo” warning shows (files.photo.quality_min_px)</t>
  </si>
  <si>
    <t xml:space="preserve">setting.files.photo.quality_min_px.name</t>
  </si>
  <si>
    <t xml:space="preserve">Allowed 320–2,000; unit px; level Other</t>
  </si>
  <si>
    <t xml:space="preserve">800</t>
  </si>
  <si>
    <t xml:space="preserve">Staff — view: all staff roles except field agents; edit: Super Admin, Admin; approve: any other Admin</t>
  </si>
  <si>
    <t xml:space="preserve">setting files.photo.quality_min_px (config_entries.value)</t>
  </si>
  <si>
    <t xml:space="preserve">M01-2 §18; M01-6 §12.2; M01-2 FIL-006</t>
  </si>
  <si>
    <t xml:space="preserve">M01-AD-01-F43</t>
  </si>
  <si>
    <t xml:space="preserve">Largest document (files.document.max_mb)</t>
  </si>
  <si>
    <t xml:space="preserve">setting.files.document.max_mb.name</t>
  </si>
  <si>
    <t xml:space="preserve">Allowed 1–25; unit MB; level High</t>
  </si>
  <si>
    <t xml:space="preserve">setting files.document.max_mb (config_entries.value)</t>
  </si>
  <si>
    <t xml:space="preserve">M01-TC-010</t>
  </si>
  <si>
    <t xml:space="preserve">M01-2 §18; M01-6 §12.2; M01-2 FIL-008</t>
  </si>
  <si>
    <t xml:space="preserve">M01-AD-01-F44</t>
  </si>
  <si>
    <t xml:space="preserve">Largest listing video (files.video.max_mb)</t>
  </si>
  <si>
    <t xml:space="preserve">setting.files.video.max_mb.name</t>
  </si>
  <si>
    <t xml:space="preserve">Allowed 10–500; unit MB; level High</t>
  </si>
  <si>
    <t xml:space="preserve">100</t>
  </si>
  <si>
    <t xml:space="preserve">setting files.video.max_mb (config_entries.value)</t>
  </si>
  <si>
    <t xml:space="preserve">M01-FR-FIL-011</t>
  </si>
  <si>
    <t xml:space="preserve">M01-2 §18; M01-6 §12.2; M01-2 FIL-011</t>
  </si>
  <si>
    <t xml:space="preserve">M01-AD-01-F45</t>
  </si>
  <si>
    <t xml:space="preserve">Longest listing video (files.video.max_seconds)</t>
  </si>
  <si>
    <t xml:space="preserve">setting.files.video.max_seconds.name</t>
  </si>
  <si>
    <t xml:space="preserve">Allowed 10–180; unit seconds; level High</t>
  </si>
  <si>
    <t xml:space="preserve">60</t>
  </si>
  <si>
    <t xml:space="preserve">setting files.video.max_seconds (config_entries.value)</t>
  </si>
  <si>
    <t xml:space="preserve">M01-FR-FIL-011, M01-FR-FIL-012</t>
  </si>
  <si>
    <t xml:space="preserve">M01-TC-012</t>
  </si>
  <si>
    <t xml:space="preserve">M01-2 §18; M01-6 §12.2; M01-2 FIL-011, FIL-012</t>
  </si>
  <si>
    <t xml:space="preserve">M01-AD-01-F46</t>
  </si>
  <si>
    <t xml:space="preserve">Photos per business location (files.location_photo.max_per_location)</t>
  </si>
  <si>
    <t xml:space="preserve">setting.files.location_photo.max_per_location.name</t>
  </si>
  <si>
    <t xml:space="preserve">Allowed 0–5; unit photos; level High</t>
  </si>
  <si>
    <t xml:space="preserve">2</t>
  </si>
  <si>
    <t xml:space="preserve">setting files.location_photo.max_per_location (config_entries.value)</t>
  </si>
  <si>
    <t xml:space="preserve">M01-FR-FIL-026</t>
  </si>
  <si>
    <t xml:space="preserve">M01-TC-165</t>
  </si>
  <si>
    <t xml:space="preserve">M01-2 §18; M01-6 §12.2; M01-2 FIL-026</t>
  </si>
  <si>
    <t xml:space="preserve">M01-AD-01-F47</t>
  </si>
  <si>
    <t xml:space="preserve">Largest business-location video (the server compresses it) (files.location_video.max_mb)</t>
  </si>
  <si>
    <t xml:space="preserve">setting.files.location_video.max_mb.name</t>
  </si>
  <si>
    <t xml:space="preserve">Allowed 5–100; unit MB; level High</t>
  </si>
  <si>
    <t xml:space="preserve">45</t>
  </si>
  <si>
    <t xml:space="preserve">setting files.location_video.max_mb (config_entries.value)</t>
  </si>
  <si>
    <t xml:space="preserve">M01-AD-01-F48</t>
  </si>
  <si>
    <t xml:space="preserve">Longest business-location video (files.location_video.max_seconds)</t>
  </si>
  <si>
    <t xml:space="preserve">setting.files.location_video.max_seconds.name</t>
  </si>
  <si>
    <t xml:space="preserve">Allowed 10–60; unit seconds; level High</t>
  </si>
  <si>
    <t xml:space="preserve">setting files.location_video.max_seconds (config_entries.value)</t>
  </si>
  <si>
    <t xml:space="preserve">M01-AD-01-F49</t>
  </si>
  <si>
    <t xml:space="preserve">How long an owner’s signed link to a private file works (files.signed_link.valid_minutes)</t>
  </si>
  <si>
    <t xml:space="preserve">setting.files.signed_link.valid_minutes.name</t>
  </si>
  <si>
    <t xml:space="preserve">Allowed 1–15; unit minutes; level High</t>
  </si>
  <si>
    <t xml:space="preserve">5</t>
  </si>
  <si>
    <t xml:space="preserve">setting files.signed_link.valid_minutes (config_entries.value)</t>
  </si>
  <si>
    <t xml:space="preserve">M01-FR-FIL-009</t>
  </si>
  <si>
    <t xml:space="preserve">M01-TC-011, M01-TC-201</t>
  </si>
  <si>
    <t xml:space="preserve">M01-2 §18; M01-6 §12.2; M01-2 FIL-009; M01-3 §2</t>
  </si>
  <si>
    <t xml:space="preserve">M01-AD-01-F50</t>
  </si>
  <si>
    <t xml:space="preserve">Largest image the worker will decode (files.decode.max_megapixels)</t>
  </si>
  <si>
    <t xml:space="preserve">setting.files.decode.max_megapixels.name</t>
  </si>
  <si>
    <t xml:space="preserve">Allowed 10–100; unit megapixels; level Other</t>
  </si>
  <si>
    <t xml:space="preserve">40</t>
  </si>
  <si>
    <t xml:space="preserve">setting files.decode.max_megapixels (config_entries.value)</t>
  </si>
  <si>
    <t xml:space="preserve">M01-2 §18; M01-6 §12.2; M01-3 §2</t>
  </si>
  <si>
    <t xml:space="preserve">M01-AD-01-F51</t>
  </si>
  <si>
    <t xml:space="preserve">Longest image side the worker will decode (files.decode.max_side_px)</t>
  </si>
  <si>
    <t xml:space="preserve">setting.files.decode.max_side_px.name</t>
  </si>
  <si>
    <t xml:space="preserve">Allowed 4,000–20,000; unit px; level Other</t>
  </si>
  <si>
    <t xml:space="preserve">12,000</t>
  </si>
  <si>
    <t xml:space="preserve">setting files.decode.max_side_px (config_entries.value)</t>
  </si>
  <si>
    <t xml:space="preserve">M01-AD-01-F52</t>
  </si>
  <si>
    <t xml:space="preserve">Memory cap for one decode (files.decode.memory_mb)</t>
  </si>
  <si>
    <t xml:space="preserve">setting.files.decode.memory_mb.name</t>
  </si>
  <si>
    <t xml:space="preserve">Allowed 256–4,096; unit MB; level Other</t>
  </si>
  <si>
    <t xml:space="preserve">1,024</t>
  </si>
  <si>
    <t xml:space="preserve">setting files.decode.memory_mb (config_entries.value)</t>
  </si>
  <si>
    <t xml:space="preserve">M01-AD-01-F53</t>
  </si>
  <si>
    <t xml:space="preserve">Decode time-out for HEIC and HEIF images (files.decode.timeout_heic_s)</t>
  </si>
  <si>
    <t xml:space="preserve">setting.files.decode.timeout_heic_s.name</t>
  </si>
  <si>
    <t xml:space="preserve">Allowed 5–60; unit seconds; level Other</t>
  </si>
  <si>
    <t xml:space="preserve">setting files.decode.timeout_heic_s (config_entries.value)</t>
  </si>
  <si>
    <t xml:space="preserve">M01-AD-01-F54</t>
  </si>
  <si>
    <t xml:space="preserve">Decode time-out for other image formats (files.decode.timeout_other_s)</t>
  </si>
  <si>
    <t xml:space="preserve">setting.files.decode.timeout_other_s.name</t>
  </si>
  <si>
    <t xml:space="preserve">setting files.decode.timeout_other_s (config_entries.value)</t>
  </si>
  <si>
    <t xml:space="preserve">M01-AD-01-F55</t>
  </si>
  <si>
    <t xml:space="preserve">Most differing fingerprint bits still treated as a copy (tuned on real photos before R1) (files.copy_match.max_distance)</t>
  </si>
  <si>
    <t xml:space="preserve">setting.files.copy_match.max_distance.name</t>
  </si>
  <si>
    <t xml:space="preserve">Allowed 0–8 (above 3 the band search can miss some matches); unit bits; level Other</t>
  </si>
  <si>
    <t xml:space="preserve">3</t>
  </si>
  <si>
    <t xml:space="preserve">setting files.copy_match.max_distance (config_entries.value)</t>
  </si>
  <si>
    <t xml:space="preserve">M01-FR-FIL-024</t>
  </si>
  <si>
    <t xml:space="preserve">M01-TC-080</t>
  </si>
  <si>
    <t xml:space="preserve">M01-2 §18; M01-6 §12.2; M01-2 FIL-024; M01-5 §14.1</t>
  </si>
  <si>
    <t xml:space="preserve">M01-AD-01-F56</t>
  </si>
  <si>
    <t xml:space="preserve">Days before the field-agent offline queue is wiped (agent_app.offline_queue_days)</t>
  </si>
  <si>
    <t xml:space="preserve">setting.agent_app.offline_queue_days.name</t>
  </si>
  <si>
    <t xml:space="preserve">Allowed 1–14; unit days; level High</t>
  </si>
  <si>
    <t xml:space="preserve">7</t>
  </si>
  <si>
    <t xml:space="preserve">setting agent_app.offline_queue_days (config_entries.value)</t>
  </si>
  <si>
    <t xml:space="preserve">M01-2 §18; M01-6 §12.2; M01-4 §9.1</t>
  </si>
  <si>
    <t xml:space="preserve">M01-AD-01-F57</t>
  </si>
  <si>
    <t xml:space="preserve">Alert when the outbox or job backlog is older than this (jobs.backlog_alert_minutes)</t>
  </si>
  <si>
    <t xml:space="preserve">setting.jobs.backlog_alert_minutes.name</t>
  </si>
  <si>
    <t xml:space="preserve">Allowed 1–60; unit minutes; level Other</t>
  </si>
  <si>
    <t xml:space="preserve">setting jobs.backlog_alert_minutes (config_entries.value)</t>
  </si>
  <si>
    <t xml:space="preserve">M01-FR-EVT-004</t>
  </si>
  <si>
    <t xml:space="preserve">M01-TC-053</t>
  </si>
  <si>
    <t xml:space="preserve">M01-2 §18; M01-6 §12.2; M01-2 EVT-004</t>
  </si>
  <si>
    <t xml:space="preserve">M01-AD-01-F58  ⚠ OI-25</t>
  </si>
  <si>
    <t xml:space="preserve">Days delivered events and processed-event rows are kept (outbox.keep_days)</t>
  </si>
  <si>
    <t xml:space="preserve">setting.outbox.keep_days.name</t>
  </si>
  <si>
    <t xml:space="preserve">Allowed 7–90; unit days; level Other</t>
  </si>
  <si>
    <t xml:space="preserve">30</t>
  </si>
  <si>
    <t xml:space="preserve">setting outbox.keep_days (config_entries.value)</t>
  </si>
  <si>
    <t xml:space="preserve">M01-2 §18; M01-6 §12.2; M01-5 §9</t>
  </si>
  <si>
    <t xml:space="preserve">M01-AD-01-F59</t>
  </si>
  <si>
    <t xml:space="preserve">Alert when no new exchange rates arrived for this long (fx.alert_after_hours)</t>
  </si>
  <si>
    <t xml:space="preserve">setting.fx.alert_after_hours.name</t>
  </si>
  <si>
    <t xml:space="preserve">Allowed 6–72; unit hours; level Other</t>
  </si>
  <si>
    <t xml:space="preserve">24</t>
  </si>
  <si>
    <t xml:space="preserve">setting fx.alert_after_hours (config_entries.value)</t>
  </si>
  <si>
    <t xml:space="preserve">M01-FR-CTY-005</t>
  </si>
  <si>
    <t xml:space="preserve">M01-TC-070</t>
  </si>
  <si>
    <t xml:space="preserve">M01-2 §18; M01-6 §12.2; M01-2 CTY-005</t>
  </si>
  <si>
    <t xml:space="preserve">M01-AD-01-F60</t>
  </si>
  <si>
    <t xml:space="preserve">Guide price hidden when the rates are older than this (fx.hide_after_hours)</t>
  </si>
  <si>
    <t xml:space="preserve">setting.fx.hide_after_hours.name</t>
  </si>
  <si>
    <t xml:space="preserve">Allowed 24–168; unit hours; level Other</t>
  </si>
  <si>
    <t xml:space="preserve">48</t>
  </si>
  <si>
    <t xml:space="preserve">setting fx.hide_after_hours (config_entries.value)</t>
  </si>
  <si>
    <t xml:space="preserve">M01-AD-01-F61</t>
  </si>
  <si>
    <t xml:space="preserve">Daily OTP sending cost limit for all countries together (otp.global_daily_cost_cap)</t>
  </si>
  <si>
    <t xml:space="preserve">setting.otp.global_daily_cost_cap.name</t>
  </si>
  <si>
    <t xml:space="preserve">Allowed Above 0; unit USD per day; level High</t>
  </si>
  <si>
    <t xml:space="preserve">[TBC: value with the budget estimate]</t>
  </si>
  <si>
    <t xml:space="preserve">setting otp.global_daily_cost_cap (config_entries.value)</t>
  </si>
  <si>
    <t xml:space="preserve">M01-FR-CTY-008</t>
  </si>
  <si>
    <t xml:space="preserve">M01-TC-192, M01-TC-198</t>
  </si>
  <si>
    <t xml:space="preserve">M01-2 §18; M01-6 §12.2; M01-2 CTY-008</t>
  </si>
  <si>
    <t xml:space="preserve">M01-AD-01-F62</t>
  </si>
  <si>
    <t xml:space="preserve">Alert level for each OTP cost cap (to Finance and on-call) (otp.cost_alert_percent)</t>
  </si>
  <si>
    <t xml:space="preserve">setting.otp.cost_alert_percent.name</t>
  </si>
  <si>
    <t xml:space="preserve">Allowed 50–100; unit %; level Other</t>
  </si>
  <si>
    <t xml:space="preserve">80</t>
  </si>
  <si>
    <t xml:space="preserve">setting otp.cost_alert_percent (config_entries.value)</t>
  </si>
  <si>
    <t xml:space="preserve">M01-TC-198</t>
  </si>
  <si>
    <t xml:space="preserve">M01-AD-01-F63</t>
  </si>
  <si>
    <t xml:space="preserve">Months an old store address cannot be claimed by others (url.old_address_reserved_months)</t>
  </si>
  <si>
    <t xml:space="preserve">setting.url.old_address_reserved_months.name</t>
  </si>
  <si>
    <t xml:space="preserve">Allowed 3–24; unit months; level Other</t>
  </si>
  <si>
    <t xml:space="preserve">12</t>
  </si>
  <si>
    <t xml:space="preserve">setting url.old_address_reserved_months (config_entries.value)</t>
  </si>
  <si>
    <t xml:space="preserve">M01-2 §18; M01-6 §12.2; M01-3 §7</t>
  </si>
  <si>
    <t xml:space="preserve">M01-AD-01-F64</t>
  </si>
  <si>
    <t xml:space="preserve">Months before the cookie choice is asked again (cookies.consent_months)</t>
  </si>
  <si>
    <t xml:space="preserve">setting.cookies.consent_months.name</t>
  </si>
  <si>
    <t xml:space="preserve">Allowed 6–12; unit months; level High</t>
  </si>
  <si>
    <t xml:space="preserve">setting cookies.consent_months (config_entries.value)</t>
  </si>
  <si>
    <t xml:space="preserve">M01-FR-CKE-005</t>
  </si>
  <si>
    <t xml:space="preserve">M01-2 §18; M01-6 §12.2; M01-2 CKE-005</t>
  </si>
  <si>
    <t xml:space="preserve">M01-AD-01-F65</t>
  </si>
  <si>
    <t xml:space="preserve">Monthly cloud budget (obs.cloud_budget_monthly)</t>
  </si>
  <si>
    <t xml:space="preserve">setting.obs.cloud_budget_monthly.name</t>
  </si>
  <si>
    <t xml:space="preserve">Allowed Above 0; unit USD per month; level High</t>
  </si>
  <si>
    <t xml:space="preserve">[TBC: tech lead AWS estimate from the HLD sizing]</t>
  </si>
  <si>
    <t xml:space="preserve">setting obs.cloud_budget_monthly (config_entries.value)</t>
  </si>
  <si>
    <t xml:space="preserve">M01-FR-OBS-005</t>
  </si>
  <si>
    <t xml:space="preserve">M01-TC-096, M01-TC-192</t>
  </si>
  <si>
    <t xml:space="preserve">M01-2 §18; M01-6 §12.2; M01-2 OBS-005</t>
  </si>
  <si>
    <t xml:space="preserve">M01-AD-01-F66</t>
  </si>
  <si>
    <t xml:space="preserve">Cloud budget alert levels (obs.cloud_budget_alert_percent)</t>
  </si>
  <si>
    <t xml:space="preserve">setting.obs.cloud_budget_alert_percent.name</t>
  </si>
  <si>
    <t xml:space="preserve">Allowed 10–100; unit %; level Other</t>
  </si>
  <si>
    <t xml:space="preserve">50, 80, 100</t>
  </si>
  <si>
    <t xml:space="preserve">setting obs.cloud_budget_alert_percent (config_entries.value)</t>
  </si>
  <si>
    <t xml:space="preserve">M01-TC-096</t>
  </si>
  <si>
    <t xml:space="preserve">M01-AD-01-F67</t>
  </si>
  <si>
    <t xml:space="preserve">AI provider and model for one purpose (ai.&lt;purpose&gt;.provider_model)</t>
  </si>
  <si>
    <t xml:space="preserve">setting.ai.&lt;purpose&gt;.provider_model.name</t>
  </si>
  <si>
    <t xml:space="preserve">Allowed Providers in the cross-border register only; unit —; level High</t>
  </si>
  <si>
    <t xml:space="preserve">[TBC: provider]</t>
  </si>
  <si>
    <t xml:space="preserve">setting ai.&lt;purpose&gt;.provider_model (config_entries.value)</t>
  </si>
  <si>
    <t xml:space="preserve">M01-FR-AIG-001, M01-FR-AIG-002</t>
  </si>
  <si>
    <t xml:space="preserve">M01-TC-146, M01-TC-147</t>
  </si>
  <si>
    <t xml:space="preserve">M01-2 §18; M01-6 §12.2; M01-2 AIG-001, AIG-002</t>
  </si>
  <si>
    <t xml:space="preserve">M01-AD-01-F68</t>
  </si>
  <si>
    <t xml:space="preserve">Time-out for one AI call (per purpose) (ai.timeout_seconds)</t>
  </si>
  <si>
    <t xml:space="preserve">setting.ai.timeout_seconds.name</t>
  </si>
  <si>
    <t xml:space="preserve">Allowed 2–60; unit seconds; level Other</t>
  </si>
  <si>
    <t xml:space="preserve">setting ai.timeout_seconds (config_entries.value)</t>
  </si>
  <si>
    <t xml:space="preserve">M01-2 §18; M01-6 §12.2; M01-3 §14</t>
  </si>
  <si>
    <t xml:space="preserve">M01-AD-01-F69</t>
  </si>
  <si>
    <t xml:space="preserve">Server-error alert (alerts.server_errors)</t>
  </si>
  <si>
    <t xml:space="preserve">setting.alerts.server_errors.name</t>
  </si>
  <si>
    <t xml:space="preserve">Allowed 0.1–10 %; 1–60 minutes; unit % / minutes; level Other</t>
  </si>
  <si>
    <t xml:space="preserve">Above 1 % of requests for 5 minutes → P1</t>
  </si>
  <si>
    <t xml:space="preserve">setting alerts.server_errors (config_entries.value)</t>
  </si>
  <si>
    <t xml:space="preserve">M01-TC-117, M01-TC-192</t>
  </si>
  <si>
    <t xml:space="preserve">M01-2 §18; M01-6 §12.2; M01-1 §6.3 (d)</t>
  </si>
  <si>
    <t xml:space="preserve">M01-AD-01-F70</t>
  </si>
  <si>
    <t xml:space="preserve">Availability alert (alerts.availability)</t>
  </si>
  <si>
    <t xml:space="preserve">setting.alerts.availability.name</t>
  </si>
  <si>
    <t xml:space="preserve">Allowed 95–99.99 %; 5–240 minutes; unit % / minutes; level Other</t>
  </si>
  <si>
    <t xml:space="preserve">Below 99.5 % over 1 hour → P1</t>
  </si>
  <si>
    <t xml:space="preserve">setting alerts.availability (config_entries.value)</t>
  </si>
  <si>
    <t xml:space="preserve">M01-AD-01-F71</t>
  </si>
  <si>
    <t xml:space="preserve">Response-time alert (alerts.response_time)</t>
  </si>
  <si>
    <t xml:space="preserve">setting.alerts.response_time.name</t>
  </si>
  <si>
    <t xml:space="preserve">Allowed 200 ms–10 s; 5–60 minutes; unit ms / minutes; level Other</t>
  </si>
  <si>
    <t xml:space="preserve">p95 above 800 ms (reads) or 1.5 s (writes) for 10 minutes → P2</t>
  </si>
  <si>
    <t xml:space="preserve">setting alerts.response_time (config_entries.value)</t>
  </si>
  <si>
    <t xml:space="preserve">M01-AD-01-F72</t>
  </si>
  <si>
    <t xml:space="preserve">Page-speed alert (alerts.page_speed)</t>
  </si>
  <si>
    <t xml:space="preserve">setting.alerts.page_speed.name</t>
  </si>
  <si>
    <t xml:space="preserve">Allowed 1–12 checks; unit checks; level Other</t>
  </si>
  <si>
    <t xml:space="preserve">Over target in 3 checks in a row → P2</t>
  </si>
  <si>
    <t xml:space="preserve">setting alerts.page_speed (config_entries.value)</t>
  </si>
  <si>
    <t xml:space="preserve">M01-AD-01-F73</t>
  </si>
  <si>
    <t xml:space="preserve">Upload-success alert (alerts.upload_success)</t>
  </si>
  <si>
    <t xml:space="preserve">setting.alerts.upload_success.name</t>
  </si>
  <si>
    <t xml:space="preserve">Allowed 80–99.9 %; 5–120 minutes; unit % / minutes; level Other</t>
  </si>
  <si>
    <t xml:space="preserve">Below 97 % over 15 minutes → P2</t>
  </si>
  <si>
    <t xml:space="preserve">setting alerts.upload_success (config_entries.value)</t>
  </si>
  <si>
    <t xml:space="preserve">M01-AD-01-F74</t>
  </si>
  <si>
    <t xml:space="preserve">Malware-scan failure alert (alerts.scan_failures)</t>
  </si>
  <si>
    <t xml:space="preserve">setting.alerts.scan_failures.name</t>
  </si>
  <si>
    <t xml:space="preserve">Allowed 1–100; 5–120 minutes; unit count / minutes; level Other</t>
  </si>
  <si>
    <t xml:space="preserve">5 or more in 15 minutes → P2</t>
  </si>
  <si>
    <t xml:space="preserve">setting alerts.scan_failures (config_entries.value)</t>
  </si>
  <si>
    <t xml:space="preserve">M01-AD-01-F75</t>
  </si>
  <si>
    <t xml:space="preserve">File-processing time alert (alerts.processing_time)</t>
  </si>
  <si>
    <t xml:space="preserve">setting.alerts.processing_time.name</t>
  </si>
  <si>
    <t xml:space="preserve">Allowed 10–240 minutes; unit minutes; level Other</t>
  </si>
  <si>
    <t xml:space="preserve">p95 over target for 30 minutes → P2</t>
  </si>
  <si>
    <t xml:space="preserve">setting alerts.processing_time (config_entries.value)</t>
  </si>
  <si>
    <t xml:space="preserve">M01-AD-01-F76</t>
  </si>
  <si>
    <t xml:space="preserve">Dead-letter job alert (alerts.dead_letter)</t>
  </si>
  <si>
    <t xml:space="preserve">setting.alerts.dead_letter.name</t>
  </si>
  <si>
    <t xml:space="preserve">Allowed 1–1,000 per hour; unit jobs; level Other</t>
  </si>
  <si>
    <t xml:space="preserve">Any → P2; 10 or more in 1 hour → P1</t>
  </si>
  <si>
    <t xml:space="preserve">setting alerts.dead_letter (config_entries.value)</t>
  </si>
  <si>
    <t xml:space="preserve">M01-AD-01-F77</t>
  </si>
  <si>
    <t xml:space="preserve">Rate-limit block alert (alerts.rate_limit_blocks)</t>
  </si>
  <si>
    <t xml:space="preserve">setting.alerts.rate_limit_blocks.name</t>
  </si>
  <si>
    <t xml:space="preserve">Allowed 1.5–10 ×; unit × average; level Other</t>
  </si>
  <si>
    <t xml:space="preserve">3 × the 7-day average → P2</t>
  </si>
  <si>
    <t xml:space="preserve">setting alerts.rate_limit_blocks (config_entries.value)</t>
  </si>
  <si>
    <t xml:space="preserve">M01-AD-01-F78</t>
  </si>
  <si>
    <t xml:space="preserve">Hyderabad standby lag alert (alerts.standby_lag)</t>
  </si>
  <si>
    <t xml:space="preserve">setting.alerts.standby_lag.name</t>
  </si>
  <si>
    <t xml:space="preserve">Allowed 10–600 s; 1–60 minutes; unit seconds / minutes; level Other</t>
  </si>
  <si>
    <t xml:space="preserve">Above 60 s for 5 minutes → P1</t>
  </si>
  <si>
    <t xml:space="preserve">setting alerts.standby_lag (config_entries.value)</t>
  </si>
  <si>
    <t xml:space="preserve">M01-AD-01-F79</t>
  </si>
  <si>
    <t xml:space="preserve">Retention run alert (to the tech lead) (alerts.retention_run)</t>
  </si>
  <si>
    <t xml:space="preserve">setting.alerts.retention_run.name</t>
  </si>
  <si>
    <t xml:space="preserve">Allowed On / off; unit —; level Other</t>
  </si>
  <si>
    <t xml:space="preserve">Run failed, or deleted nothing when due → P2</t>
  </si>
  <si>
    <t xml:space="preserve">setting alerts.retention_run (config_entries.value)</t>
  </si>
  <si>
    <t xml:space="preserve">M01-AD-02-F01</t>
  </si>
  <si>
    <t xml:space="preserve">Environment banner</t>
  </si>
  <si>
    <t xml:space="preserve">m01.ad02.feature_switches.environment_banner.text</t>
  </si>
  <si>
    <t xml:space="preserve">development, staging or production (each has its own console)</t>
  </si>
  <si>
    <t xml:space="preserve">Staff — view: Super Admin, Admin, Moderator, Finance, Content Editor, Support; edit: Super Admin, Admin; emergency off: settings.emergency_off</t>
  </si>
  <si>
    <t xml:space="preserve">environment (proposal)</t>
  </si>
  <si>
    <t xml:space="preserve">— (derived: the console’s environment)</t>
  </si>
  <si>
    <t xml:space="preserve">M01-FR-ENV-004, M01-FR-CFG-003</t>
  </si>
  <si>
    <t xml:space="preserve">M01-TC-103</t>
  </si>
  <si>
    <t xml:space="preserve">M01-6 §12.3; M01-5 §8.2; M01-3 §4.2; M01-2 §18</t>
  </si>
  <si>
    <t xml:space="preserve">M01-AD-02-F02</t>
  </si>
  <si>
    <t xml:space="preserve">Name (e.g. messaging.full_chat)</t>
  </si>
  <si>
    <t xml:space="preserve">m01.ad02.feature_switches.name.column</t>
  </si>
  <si>
    <t xml:space="preserve">name</t>
  </si>
  <si>
    <t xml:space="preserve">GET /v1/admin/switches</t>
  </si>
  <si>
    <t xml:space="preserve">feature_flags.name</t>
  </si>
  <si>
    <t xml:space="preserve">M01-FR-ENV-004</t>
  </si>
  <si>
    <t xml:space="preserve">M01-TC-050</t>
  </si>
  <si>
    <t xml:space="preserve">M01-AD-02-F03  ⚠ OI-26, OI-27</t>
  </si>
  <si>
    <t xml:space="preserve">Description</t>
  </si>
  <si>
    <t xml:space="preserve">m01.ad02.feature_switches.description.column</t>
  </si>
  <si>
    <t xml:space="preserve">feature_flags.description</t>
  </si>
  <si>
    <t xml:space="preserve">M01-AD-02-F04</t>
  </si>
  <si>
    <t xml:space="preserve">Owner module</t>
  </si>
  <si>
    <t xml:space="preserve">m01.ad02.feature_switches.owner_module.column</t>
  </si>
  <si>
    <t xml:space="preserve">ownerModule (proposal)</t>
  </si>
  <si>
    <t xml:space="preserve">— (no column in feature_flags)</t>
  </si>
  <si>
    <t xml:space="preserve">M01-AD-02-F05</t>
  </si>
  <si>
    <t xml:space="preserve">State (Turn on / off)</t>
  </si>
  <si>
    <t xml:space="preserve">m01.ad02.feature_switches.state.label</t>
  </si>
  <si>
    <t xml:space="preserve">on / off; production change is high impact, development and staging “other”</t>
  </si>
  <si>
    <t xml:space="preserve">Off (register)</t>
  </si>
  <si>
    <t xml:space="preserve">“Turning this off in production hides {feature} for about {n} users.”</t>
  </si>
  <si>
    <t xml:space="preserve">isEnabled</t>
  </si>
  <si>
    <t xml:space="preserve">PATCH /v1/admin/switches/{name} (draftId)</t>
  </si>
  <si>
    <t xml:space="preserve">feature_flags.is_enabled (setting feature_flags.&lt;name&gt;)</t>
  </si>
  <si>
    <t xml:space="preserve">M01-TC-050, M01-TC-103</t>
  </si>
  <si>
    <t xml:space="preserve">M01-AD-02-F06</t>
  </si>
  <si>
    <t xml:space="preserve">Detail</t>
  </si>
  <si>
    <t xml:space="preserve">Targets (release, environment, role, plan, category, country, account list) — Add target</t>
  </si>
  <si>
    <t xml:space="preserve">m01.ad02.feature_switches.targets_add_target.label</t>
  </si>
  <si>
    <t xml:space="preserve">[control detail: Dropdown + value] release, environment, role, plan, category, country, account list</t>
  </si>
  <si>
    <t xml:space="preserve">rules.targets (proposal)</t>
  </si>
  <si>
    <t xml:space="preserve">PATCH /v1/admin/switches/{name}</t>
  </si>
  <si>
    <t xml:space="preserve">feature_flags.rules</t>
  </si>
  <si>
    <t xml:space="preserve">M01-FR-CFG-003</t>
  </si>
  <si>
    <t xml:space="preserve">M01-AD-02-F07</t>
  </si>
  <si>
    <t xml:space="preserve">Overrides — Add override (shown in the order that decides)</t>
  </si>
  <si>
    <t xml:space="preserve">m01.ad02.feature_switches.overrides_add_override.label</t>
  </si>
  <si>
    <t xml:space="preserve">[control detail: Dropdown + value] order: account list → role → plan → category → country → global</t>
  </si>
  <si>
    <t xml:space="preserve">“No overrides. The switch uses its global value.”</t>
  </si>
  <si>
    <t xml:space="preserve">rules.overrides (proposal)</t>
  </si>
  <si>
    <t xml:space="preserve">M01-TC-173</t>
  </si>
  <si>
    <t xml:space="preserve">M01-AD-02-F08</t>
  </si>
  <si>
    <t xml:space="preserve">Check an account</t>
  </si>
  <si>
    <t xml:space="preserve">Account ID (Check an account)</t>
  </si>
  <si>
    <t xml:space="preserve">m01.ad02.feature_switches.account_id.label</t>
  </si>
  <si>
    <t xml:space="preserve">an existing account ID</t>
  </si>
  <si>
    <t xml:space="preserve">“This account ID doesn’t exist.”</t>
  </si>
  <si>
    <t xml:space="preserve">account</t>
  </si>
  <si>
    <t xml:space="preserve">GET /v1/admin/switches/{name}/check?account=</t>
  </si>
  <si>
    <t xml:space="preserve">— (not stored)</t>
  </si>
  <si>
    <t xml:space="preserve">M01-AD-02-F09</t>
  </si>
  <si>
    <t xml:space="preserve">Check result “For account {ID}: ON — decided by role override (Seller).”</t>
  </si>
  <si>
    <t xml:space="preserve">m01.ad02.feature_switches.check_result_decided_by.text</t>
  </si>
  <si>
    <t xml:space="preserve">ON / OFF and the deciding rule</t>
  </si>
  <si>
    <t xml:space="preserve">enabled · decidedBy</t>
  </si>
  <si>
    <t xml:space="preserve">— (derived from feature_flags.rules)</t>
  </si>
  <si>
    <t xml:space="preserve">M01-AD-02-F10</t>
  </si>
  <si>
    <t xml:space="preserve">Production</t>
  </si>
  <si>
    <t xml:space="preserve">Under-attack mode</t>
  </si>
  <si>
    <t xml:space="preserve">m01.ad02.feature_switches.under_attack_mode.label</t>
  </si>
  <si>
    <t xml:space="preserve">on / off; ON at once through the emergency path; security switch (Super Admin approves)</t>
  </si>
  <si>
    <t xml:space="preserve">“Under-attack mode is a security switch; a Super Admin must approve it — or use the emergency path.”</t>
  </si>
  <si>
    <t xml:space="preserve">PATCH /v1/admin/switches/{name} · POST /v1/admin/config/emergency</t>
  </si>
  <si>
    <t xml:space="preserve">setting security.under_attack_mode (feature_flags.is_enabled)</t>
  </si>
  <si>
    <t xml:space="preserve">M01-FR-SEC-009, M01-FR-CFG-010</t>
  </si>
  <si>
    <t xml:space="preserve">M01-TC-125, M01-TC-194</t>
  </si>
  <si>
    <t xml:space="preserve">M01-AD-03-F01</t>
  </si>
  <si>
    <t xml:space="preserve">Flag</t>
  </si>
  <si>
    <t xml:space="preserve">m01.ad03.country_table.flag.column</t>
  </si>
  <si>
    <t xml:space="preserve">flag (proposal)</t>
  </si>
  <si>
    <t xml:space="preserve">GET /v1/admin/countries</t>
  </si>
  <si>
    <t xml:space="preserve">— (derived from countries.code)</t>
  </si>
  <si>
    <t xml:space="preserve">M01-FR-CTY-001</t>
  </si>
  <si>
    <t xml:space="preserve">M01-6 §12.4; M01-5 §5.1; M01-3 §4.2; M01-2 §14, §18</t>
  </si>
  <si>
    <t xml:space="preserve">M01-AD-03-F02</t>
  </si>
  <si>
    <t xml:space="preserve">m01.ad03.country_table.name.column</t>
  </si>
  <si>
    <t xml:space="preserve">nameKey</t>
  </si>
  <si>
    <t xml:space="preserve">countries.name_key (translated name)</t>
  </si>
  <si>
    <t xml:space="preserve">M01-TC-119</t>
  </si>
  <si>
    <t xml:space="preserve">M01-AD-03-F03</t>
  </si>
  <si>
    <t xml:space="preserve">ISO code</t>
  </si>
  <si>
    <t xml:space="preserve">m01.ad03.country_table.iso_code.label</t>
  </si>
  <si>
    <t xml:space="preserve">ISO 3166-1, e.g. IN, AE, SA, SG</t>
  </si>
  <si>
    <t xml:space="preserve">code</t>
  </si>
  <si>
    <t xml:space="preserve">countries.code</t>
  </si>
  <si>
    <t xml:space="preserve">char(2)</t>
  </si>
  <si>
    <t xml:space="preserve">M01-AD-03-F04  ⚠ OI-31, OI-32</t>
  </si>
  <si>
    <t xml:space="preserve">Market region</t>
  </si>
  <si>
    <t xml:space="preserve">m01.ad03.country_table.market_region.column</t>
  </si>
  <si>
    <t xml:space="preserve">south_asia, gulf, other_middle_east, south_east_asia, east_asia, europe, americas, africa, oceania</t>
  </si>
  <si>
    <t xml:space="preserve">marketRegion</t>
  </si>
  <si>
    <t xml:space="preserve">countries.market_region</t>
  </si>
  <si>
    <t xml:space="preserve">M01-TC-208</t>
  </si>
  <si>
    <t xml:space="preserve">M01-AD-03-F05</t>
  </si>
  <si>
    <t xml:space="preserve">Status (allowed, restricted, blocked)</t>
  </si>
  <si>
    <t xml:space="preserve">m01.ad03.country_table.status.column</t>
  </si>
  <si>
    <t xml:space="preserve">allowed, restricted, blocked</t>
  </si>
  <si>
    <t xml:space="preserve">countries.status</t>
  </si>
  <si>
    <t xml:space="preserve">M01-FR-CTY-003</t>
  </si>
  <si>
    <t xml:space="preserve">M01-TC-072, M01-TC-089</t>
  </si>
  <si>
    <t xml:space="preserve">M01-AD-03-F06  ⚠ OI-28</t>
  </si>
  <si>
    <t xml:space="preserve">Selling allowed (yes / no)</t>
  </si>
  <si>
    <t xml:space="preserve">m01.ad03.country_table.selling_allowed.column</t>
  </si>
  <si>
    <t xml:space="preserve">yes / no</t>
  </si>
  <si>
    <t xml:space="preserve">features.sellingAllowed (proposal)</t>
  </si>
  <si>
    <t xml:space="preserve">countries.features (key not named in M01-5)</t>
  </si>
  <si>
    <t xml:space="preserve">M01-FR-CTY-004</t>
  </si>
  <si>
    <t xml:space="preserve">M01-AD-03-F07</t>
  </si>
  <si>
    <t xml:space="preserve">Launch status (open, invited only, not yet open)</t>
  </si>
  <si>
    <t xml:space="preserve">m01.ad03.country_table.launch_status.column</t>
  </si>
  <si>
    <t xml:space="preserve">open, invited only, not yet open</t>
  </si>
  <si>
    <t xml:space="preserve">features.launchStatus (proposal)</t>
  </si>
  <si>
    <t xml:space="preserve">M01-AD-03-F08</t>
  </si>
  <si>
    <t xml:space="preserve">Currency</t>
  </si>
  <si>
    <t xml:space="preserve">m01.ad03.country_table.currency.column</t>
  </si>
  <si>
    <t xml:space="preserve">listing currency (INR for IN, USD for others)</t>
  </si>
  <si>
    <t xml:space="preserve">M01-AD-03-F09</t>
  </si>
  <si>
    <t xml:space="preserve">Guide currency</t>
  </si>
  <si>
    <t xml:space="preserve">m01.ad03.country_table.guide_currency.column</t>
  </si>
  <si>
    <t xml:space="preserve">e.g. AED; from setting countries.guide_currencies</t>
  </si>
  <si>
    <t xml:space="preserve">countries.guide_currency</t>
  </si>
  <si>
    <t xml:space="preserve">M01-FR-CTY-001, M01-FR-CTY-006</t>
  </si>
  <si>
    <t xml:space="preserve">M01-AD-03-F10</t>
  </si>
  <si>
    <t xml:space="preserve">Default language</t>
  </si>
  <si>
    <t xml:space="preserve">m01.ad03.country_table.default_language.column</t>
  </si>
  <si>
    <t xml:space="preserve">e.g. ar</t>
  </si>
  <si>
    <t xml:space="preserve">defaultLanguage</t>
  </si>
  <si>
    <t xml:space="preserve">countries.default_language</t>
  </si>
  <si>
    <t xml:space="preserve">M01-AD-03-F11  ⚠ OI-34</t>
  </si>
  <si>
    <t xml:space="preserve">Filters</t>
  </si>
  <si>
    <t xml:space="preserve">Status</t>
  </si>
  <si>
    <t xml:space="preserve">m01.ad03.country_table.status.label</t>
  </si>
  <si>
    <t xml:space="preserve">allowed, restricted, blocked; empty: “No countries match these filters.”</t>
  </si>
  <si>
    <t xml:space="preserve">M01-AD-03-F12</t>
  </si>
  <si>
    <t xml:space="preserve">Market region (e.g. Gulf)</t>
  </si>
  <si>
    <t xml:space="preserve">m01.ad03.country_table.market_region.label</t>
  </si>
  <si>
    <t xml:space="preserve">M01-AD-03-F13</t>
  </si>
  <si>
    <t xml:space="preserve">Selling allowed</t>
  </si>
  <si>
    <t xml:space="preserve">m01.ad03.country_table.selling_allowed.label</t>
  </si>
  <si>
    <t xml:space="preserve">sellingAllowed (proposal)</t>
  </si>
  <si>
    <t xml:space="preserve">countries.features (key not named)</t>
  </si>
  <si>
    <t xml:space="preserve">M01-AD-03-F14</t>
  </si>
  <si>
    <t xml:space="preserve">General tab</t>
  </si>
  <si>
    <t xml:space="preserve">General</t>
  </si>
  <si>
    <t xml:space="preserve">Phone code</t>
  </si>
  <si>
    <t xml:space="preserve">m01.ad03.general.phone_code.label</t>
  </si>
  <si>
    <t xml:space="preserve">e.g. +91, +971; “other” change</t>
  </si>
  <si>
    <t xml:space="preserve">phoneCode</t>
  </si>
  <si>
    <t xml:space="preserve">PATCH /v1/admin/countries/{code} (draftId)</t>
  </si>
  <si>
    <t xml:space="preserve">countries.phone_code</t>
  </si>
  <si>
    <t xml:space="preserve">M01-AD-03-F15</t>
  </si>
  <si>
    <t xml:space="preserve">Time zones</t>
  </si>
  <si>
    <t xml:space="preserve">m01.ad03.general.time_zones.label</t>
  </si>
  <si>
    <t xml:space="preserve">[control detail: Dropdown (multi)] IANA names, e.g. {Asia/Dubai}; “other” change</t>
  </si>
  <si>
    <t xml:space="preserve">timeZones</t>
  </si>
  <si>
    <t xml:space="preserve">countries.time_zones</t>
  </si>
  <si>
    <t xml:space="preserve">text[]</t>
  </si>
  <si>
    <t xml:space="preserve">M01-AD-03-F16</t>
  </si>
  <si>
    <t xml:space="preserve">Weekend days</t>
  </si>
  <si>
    <t xml:space="preserve">m01.ad03.general.weekend_days.label</t>
  </si>
  <si>
    <t xml:space="preserve">Checkbox</t>
  </si>
  <si>
    <t xml:space="preserve">day numbers, e.g. {6,7}</t>
  </si>
  <si>
    <t xml:space="preserve">weekendDays</t>
  </si>
  <si>
    <t xml:space="preserve">countries.weekend_days</t>
  </si>
  <si>
    <t xml:space="preserve">int[]</t>
  </si>
  <si>
    <t xml:space="preserve">M01-AD-03-F17</t>
  </si>
  <si>
    <t xml:space="preserve">Number style</t>
  </si>
  <si>
    <t xml:space="preserve">m01.ad03.general.number_style.label</t>
  </si>
  <si>
    <t xml:space="preserve">indian or international; “other” change</t>
  </si>
  <si>
    <t xml:space="preserve">countries.number_style</t>
  </si>
  <si>
    <t xml:space="preserve">M01-FR-CTY-001, M01-FR-LOC-003</t>
  </si>
  <si>
    <t xml:space="preserve">M01-TC-031, M01-TC-032</t>
  </si>
  <si>
    <t xml:space="preserve">M01-AD-03-F18</t>
  </si>
  <si>
    <t xml:space="preserve">Address layout</t>
  </si>
  <si>
    <t xml:space="preserve">m01.ad03.general.address_layout.label</t>
  </si>
  <si>
    <t xml:space="preserve">[control detail: Text area (fields and order)] fields and order (e.g. PIN code, State and District for India; Emirate and P.O. Box for UAE); “other” change</t>
  </si>
  <si>
    <t xml:space="preserve">addressLayout</t>
  </si>
  <si>
    <t xml:space="preserve">countries.address_layout</t>
  </si>
  <si>
    <t xml:space="preserve">M01-FR-CTY-001, M01-FR-LOC-010</t>
  </si>
  <si>
    <t xml:space="preserve">M01-TC-074</t>
  </si>
  <si>
    <t xml:space="preserve">M01-AD-03-F19  ⚠ OI-29</t>
  </si>
  <si>
    <t xml:space="preserve">Status and features tab</t>
  </si>
  <si>
    <t xml:space="preserve">Status and features</t>
  </si>
  <si>
    <t xml:space="preserve">m01.ad03.status_features.status.label</t>
  </si>
  <si>
    <t xml:space="preserve">allowed, restricted (listed features off), blocked (set with counsel, C7); high impact</t>
  </si>
  <si>
    <t xml:space="preserve">countries.status (setting countries.&lt;code&gt;.status, features and sign-in settings)</t>
  </si>
  <si>
    <t xml:space="preserve">M01-AD-03-F20</t>
  </si>
  <si>
    <t xml:space="preserve">Opportunities visible</t>
  </si>
  <si>
    <t xml:space="preserve">m01.ad03.status_features.opportunities_visible.label</t>
  </si>
  <si>
    <t xml:space="preserve">on / off; high impact; message “Opportunities will be hidden for viewers in {country}.”</t>
  </si>
  <si>
    <t xml:space="preserve">features.opportunities</t>
  </si>
  <si>
    <t xml:space="preserve">countries.features (e.g. {“opportunities”: false})</t>
  </si>
  <si>
    <t xml:space="preserve">M01-TC-072, M01-TC-174</t>
  </si>
  <si>
    <t xml:space="preserve">M01-AD-03-F21</t>
  </si>
  <si>
    <t xml:space="preserve">Export listings visible</t>
  </si>
  <si>
    <t xml:space="preserve">m01.ad03.status_features.export_listings_visible.label</t>
  </si>
  <si>
    <t xml:space="preserve">on / off; high impact</t>
  </si>
  <si>
    <t xml:space="preserve">features.exportListings (proposal)</t>
  </si>
  <si>
    <t xml:space="preserve">M01-AD-03-F22</t>
  </si>
  <si>
    <t xml:space="preserve">m01.ad03.status_features.selling_allowed.label</t>
  </si>
  <si>
    <t xml:space="preserve">yes / no; kept with the country’s features; high impact</t>
  </si>
  <si>
    <t xml:space="preserve">M01-AD-03-F23</t>
  </si>
  <si>
    <t xml:space="preserve">m01.ad03.status_features.launch.label</t>
  </si>
  <si>
    <t xml:space="preserve">open, invited only, not yet open; not open for sign-up → OTP cost cap 0; high impact</t>
  </si>
  <si>
    <t xml:space="preserve">M01-FR-CTY-004, M01-FR-CTY-008</t>
  </si>
  <si>
    <t xml:space="preserve">M01-AD-03-F24</t>
  </si>
  <si>
    <t xml:space="preserve">Sign-in tab</t>
  </si>
  <si>
    <t xml:space="preserve">Sign-in</t>
  </si>
  <si>
    <t xml:space="preserve">OTP channel order</t>
  </si>
  <si>
    <t xml:space="preserve">m01.ad03.sign.otp_channel_order.label</t>
  </si>
  <si>
    <t xml:space="preserve">[control detail: Dropdown (ordered list)] sms, whatsapp, email, voice; e.g. IN {sms,voice,whatsapp,email}, CN {sms,email}, most others {whatsapp,sms,email}; high impact</t>
  </si>
  <si>
    <t xml:space="preserve">per country (M01-5 §5.1)</t>
  </si>
  <si>
    <t xml:space="preserve">“Unknown channel — use sms, whatsapp, email or voice.”</t>
  </si>
  <si>
    <t xml:space="preserve">otpChannels</t>
  </si>
  <si>
    <t xml:space="preserve">countries.otp_channels</t>
  </si>
  <si>
    <t xml:space="preserve">M01-TC-162</t>
  </si>
  <si>
    <t xml:space="preserve">M01-AD-03-F25</t>
  </si>
  <si>
    <t xml:space="preserve">Sign-in methods</t>
  </si>
  <si>
    <t xml:space="preserve">m01.ad03.sign.methods.label</t>
  </si>
  <si>
    <t xml:space="preserve">Yes (at least one)</t>
  </si>
  <si>
    <t xml:space="preserve">password, google, apple, passkey (e.g. CN without google); high impact</t>
  </si>
  <si>
    <t xml:space="preserve">per country</t>
  </si>
  <si>
    <t xml:space="preserve">“At least one sign-in method is required.”</t>
  </si>
  <si>
    <t xml:space="preserve">signinMethods</t>
  </si>
  <si>
    <t xml:space="preserve">countries.signin_methods</t>
  </si>
  <si>
    <t xml:space="preserve">M01-AD-03-F26</t>
  </si>
  <si>
    <t xml:space="preserve">SMS sender name registered (yes / no)</t>
  </si>
  <si>
    <t xml:space="preserve">m01.ad03.sign.sms_sender_name.label</t>
  </si>
  <si>
    <t xml:space="preserve">yes / no; if no, codes go by WhatsApp or email; high impact</t>
  </si>
  <si>
    <t xml:space="preserve">smsSenderRegistered</t>
  </si>
  <si>
    <t xml:space="preserve">countries.sms_sender_registered</t>
  </si>
  <si>
    <t xml:space="preserve">M01-AD-03-F27</t>
  </si>
  <si>
    <t xml:space="preserve">Daily OTP cost cap (with its starting values)</t>
  </si>
  <si>
    <t xml:space="preserve">m01.ad03.sign.daily_otp_cost.label</t>
  </si>
  <si>
    <t xml:space="preserve">[control detail: Number + currency] 0 or more, currency per day; 0 while the country is not open for sign-up; alert at 80 % (otp.cost_alert_percent); global cap is in the settings editor (otp.global_daily_cost_cap); high impact</t>
  </si>
  <si>
    <t xml:space="preserve">0 for countries not open for sign-up; IN 3,000 INR; each other open country 50 USD</t>
  </si>
  <si>
    <t xml:space="preserve">otpDailyCostCap · otpCostCurrency</t>
  </si>
  <si>
    <t xml:space="preserve">countries.otp_daily_cost_cap / otp_cost_currency (setting countries.&lt;code&gt;.otp_daily_cost_cap)</t>
  </si>
  <si>
    <t xml:space="preserve">numeric(16,2) / char(3)</t>
  </si>
  <si>
    <t xml:space="preserve">M01-AD-03-F28  ⚠ OI-33</t>
  </si>
  <si>
    <t xml:space="preserve">States and districts tab</t>
  </si>
  <si>
    <t xml:space="preserve">States and districts</t>
  </si>
  <si>
    <t xml:space="preserve">State code (ISO 3166-2)</t>
  </si>
  <si>
    <t xml:space="preserve">m01.ad03.states_districts.state_code.label</t>
  </si>
  <si>
    <t xml:space="preserve">full ISO 3166-2, e.g. IN-AS, IN-TR, AE-DU</t>
  </si>
  <si>
    <t xml:space="preserve">“A state with this code already exists.”</t>
  </si>
  <si>
    <t xml:space="preserve">POST /v1/admin/countries/{code}/regions · PATCH /v1/admin/regions/{code} · POST …/retire</t>
  </si>
  <si>
    <t xml:space="preserve">country_regions.code</t>
  </si>
  <si>
    <t xml:space="preserve">M01-FR-CTY-002</t>
  </si>
  <si>
    <t xml:space="preserve">M01-6 §12.4; M01-5 §5.2–5.3</t>
  </si>
  <si>
    <t xml:space="preserve">M01-AD-03-F29</t>
  </si>
  <si>
    <t xml:space="preserve">State name</t>
  </si>
  <si>
    <t xml:space="preserve">m01.ad03.states_districts.state_name.label</t>
  </si>
  <si>
    <t xml:space="preserve">translated name</t>
  </si>
  <si>
    <t xml:space="preserve">“Enter a name.”</t>
  </si>
  <si>
    <t xml:space="preserve">country_regions.name_key</t>
  </si>
  <si>
    <t xml:space="preserve">M01-AD-03-F30</t>
  </si>
  <si>
    <t xml:space="preserve">State active or retired (Retire needs a reason)</t>
  </si>
  <si>
    <t xml:space="preserve">m01.ad03.states_districts.state_active_retired.label</t>
  </si>
  <si>
    <t xml:space="preserve">retire, never delete</t>
  </si>
  <si>
    <t xml:space="preserve">“This state has {n} active districts. Retire them first.” · “A reason is required.”</t>
  </si>
  <si>
    <t xml:space="preserve">active</t>
  </si>
  <si>
    <t xml:space="preserve">country_regions.active</t>
  </si>
  <si>
    <t xml:space="preserve">M01-AD-03-F31</t>
  </si>
  <si>
    <t xml:space="preserve">District code (India: official LGD code)</t>
  </si>
  <si>
    <t xml:space="preserve">m01.ad03.states_districts.district_code.label</t>
  </si>
  <si>
    <t xml:space="preserve">India LGD district code</t>
  </si>
  <si>
    <t xml:space="preserve">“A district with this code already exists.”</t>
  </si>
  <si>
    <t xml:space="preserve">POST /v1/admin/regions/{code}/districts · PATCH /v1/admin/districts/{code} · POST …/retire</t>
  </si>
  <si>
    <t xml:space="preserve">country_districts.code</t>
  </si>
  <si>
    <t xml:space="preserve">M01-AD-03-F32</t>
  </si>
  <si>
    <t xml:space="preserve">District name</t>
  </si>
  <si>
    <t xml:space="preserve">m01.ad03.states_districts.district_name.label</t>
  </si>
  <si>
    <t xml:space="preserve">country_districts.name_key</t>
  </si>
  <si>
    <t xml:space="preserve">M01-AD-03-F33</t>
  </si>
  <si>
    <t xml:space="preserve">District active or retired (Retire needs a reason)</t>
  </si>
  <si>
    <t xml:space="preserve">m01.ad03.states_districts.district_active_retired.label</t>
  </si>
  <si>
    <t xml:space="preserve">retire, never delete (districts are split or renamed); retired districts hidden in address forms</t>
  </si>
  <si>
    <t xml:space="preserve">country_districts.active</t>
  </si>
  <si>
    <t xml:space="preserve">M01-TC-099</t>
  </si>
  <si>
    <t xml:space="preserve">M01-AD-03-F34  ⚠ OI-30</t>
  </si>
  <si>
    <t xml:space="preserve">Removed (29 Sep 2026): moved to the Settings editor (OI-30)</t>
  </si>
  <si>
    <t xml:space="preserve">Guide currencies offered — now a row of the Settings editor (M01-AD-01)</t>
  </si>
  <si>
    <t xml:space="preserve">m01.ad03.guide_currencies_offered_now.label</t>
  </si>
  <si>
    <t xml:space="preserve">ISO currency codes that have daily rates; level Other</t>
  </si>
  <si>
    <t xml:space="preserve">AED, SAR, QAR, KWD, OMR, BHD, SGD, MYR, IDR, THB, VND, HKD, TWD, CNY, JPY, KRW, EUR, GBP, INR, USD</t>
  </si>
  <si>
    <t xml:space="preserve">— (not listed in M01-3 §4.2 country endpoints)</t>
  </si>
  <si>
    <t xml:space="preserve">setting countries.guide_currencies</t>
  </si>
  <si>
    <t xml:space="preserve">jsonb (config_entries.value)</t>
  </si>
  <si>
    <t xml:space="preserve">M01-FR-CTY-007</t>
  </si>
  <si>
    <t xml:space="preserve">M01-TC-120</t>
  </si>
  <si>
    <t xml:space="preserve">M01-2 §18, CTY-007</t>
  </si>
  <si>
    <t xml:space="preserve">M01-AD-04-F01  ⚠ OI-37</t>
  </si>
  <si>
    <t xml:space="preserve">m01.ad04.reserved_names.search.label</t>
  </si>
  <si>
    <t xml:space="preserve">name; empty: “No reserved names yet. Add the first one.”</t>
  </si>
  <si>
    <t xml:space="preserve">Staff — edit: Super Admin, Admin; view: Moderator; other roles: no access</t>
  </si>
  <si>
    <t xml:space="preserve">GET /v1/admin/reserved-names</t>
  </si>
  <si>
    <t xml:space="preserve">reserved_names.name</t>
  </si>
  <si>
    <t xml:space="preserve">M01-FR-URL-008</t>
  </si>
  <si>
    <t xml:space="preserve">M01-6 §12.5; M01-5 §13.4; M01-3 §4.2, §7</t>
  </si>
  <si>
    <t xml:space="preserve">M01-AD-04-F02</t>
  </si>
  <si>
    <t xml:space="preserve">Filter by kind</t>
  </si>
  <si>
    <t xml:space="preserve">m01.ad04.reserved_names.filter_by_kind.label</t>
  </si>
  <si>
    <t xml:space="preserve">reserved, banned, protected brand</t>
  </si>
  <si>
    <t xml:space="preserve">kind</t>
  </si>
  <si>
    <t xml:space="preserve">reserved_names.kind</t>
  </si>
  <si>
    <t xml:space="preserve">M01-AD-04-F03</t>
  </si>
  <si>
    <t xml:space="preserve">m01.ad04.reserved_names.name.column</t>
  </si>
  <si>
    <t xml:space="preserve">normalised form (lower case, transliterated, look-alike characters folded)</t>
  </si>
  <si>
    <t xml:space="preserve">M01-TC-143</t>
  </si>
  <si>
    <t xml:space="preserve">M01-AD-04-F04</t>
  </si>
  <si>
    <t xml:space="preserve">Kind (reserved, banned, protected brand)</t>
  </si>
  <si>
    <t xml:space="preserve">m01.ad04.reserved_names.kind.column</t>
  </si>
  <si>
    <t xml:space="preserve">reserved, banned, protected_brand</t>
  </si>
  <si>
    <t xml:space="preserve">M01-TC-202</t>
  </si>
  <si>
    <t xml:space="preserve">M01-AD-04-F05</t>
  </si>
  <si>
    <t xml:space="preserve">Match type (exact; “contains”)</t>
  </si>
  <si>
    <t xml:space="preserve">m01.ad04.reserved_names.match_type.column</t>
  </si>
  <si>
    <t xml:space="preserve">exact or contains</t>
  </si>
  <si>
    <t xml:space="preserve">matchType</t>
  </si>
  <si>
    <t xml:space="preserve">reserved_names.match_type</t>
  </si>
  <si>
    <t xml:space="preserve">M01-AD-04-F06</t>
  </si>
  <si>
    <t xml:space="preserve">Applies to (business name, page address)</t>
  </si>
  <si>
    <t xml:space="preserve">m01.ad04.reserved_names.applies.column</t>
  </si>
  <si>
    <t xml:space="preserve">business_name, page_address</t>
  </si>
  <si>
    <t xml:space="preserve">appliesTo</t>
  </si>
  <si>
    <t xml:space="preserve">reserved_names.applies_to</t>
  </si>
  <si>
    <t xml:space="preserve">M01-AD-04-F07</t>
  </si>
  <si>
    <t xml:space="preserve">Reason</t>
  </si>
  <si>
    <t xml:space="preserve">m01.ad04.reserved_names.reason.column</t>
  </si>
  <si>
    <t xml:space="preserve">e.g. brand owner, legal order reference</t>
  </si>
  <si>
    <t xml:space="preserve">reserved_names.reason</t>
  </si>
  <si>
    <t xml:space="preserve">M01-AD-04-F08</t>
  </si>
  <si>
    <t xml:space="preserve">Added by</t>
  </si>
  <si>
    <t xml:space="preserve">m01.ad04.reserved_names.added_by.column</t>
  </si>
  <si>
    <t xml:space="preserve">reserved_names.created_by</t>
  </si>
  <si>
    <t xml:space="preserve">M01-AD-04-F09</t>
  </si>
  <si>
    <t xml:space="preserve">Date (added)</t>
  </si>
  <si>
    <t xml:space="preserve">m01.ad04.reserved_names.date.column</t>
  </si>
  <si>
    <t xml:space="preserve">createdAt</t>
  </si>
  <si>
    <t xml:space="preserve">reserved_names.created_at</t>
  </si>
  <si>
    <t xml:space="preserve">M01-AD-04-F10</t>
  </si>
  <si>
    <t xml:space="preserve">Active or retired</t>
  </si>
  <si>
    <t xml:space="preserve">m01.ad04.reserved_names.active_retired.column</t>
  </si>
  <si>
    <t xml:space="preserve">names are never deleted</t>
  </si>
  <si>
    <t xml:space="preserve">reserved_names.active</t>
  </si>
  <si>
    <t xml:space="preserve">M01-AD-04-F11  ⚠ OI-36</t>
  </si>
  <si>
    <t xml:space="preserve">Add name</t>
  </si>
  <si>
    <t xml:space="preserve">m01.ad04.reserved_names.name.label</t>
  </si>
  <si>
    <t xml:space="preserve">checked in lower case, with look-alike characters folded (0 → o, 1 → l); stored normalised; UNIQUE (name, kind)</t>
  </si>
  <si>
    <t xml:space="preserve">“Enter a name.” · “This name is already on the list as {kind}.”</t>
  </si>
  <si>
    <t xml:space="preserve">POST /v1/admin/reserved-names (draftId)</t>
  </si>
  <si>
    <t xml:space="preserve">M01-TC-143, M01-TC-202</t>
  </si>
  <si>
    <t xml:space="preserve">M01-AD-04-F12</t>
  </si>
  <si>
    <t xml:space="preserve">m01.ad04.reserved_names.kind.label</t>
  </si>
  <si>
    <t xml:space="preserve">M01-TC-175, M01-TC-202</t>
  </si>
  <si>
    <t xml:space="preserve">M01-AD-04-F13</t>
  </si>
  <si>
    <t xml:space="preserve">Match type</t>
  </si>
  <si>
    <t xml:space="preserve">m01.ad04.reserved_names.match_type.label</t>
  </si>
  <si>
    <t xml:space="preserve">exact; “contains” only for protected brand names of 5 or more characters (reserved and banned always exact)</t>
  </si>
  <si>
    <t xml:space="preserve">exact</t>
  </si>
  <si>
    <t xml:space="preserve">“‘Contains’ can only be used for a protected brand name of 5 or more characters.”</t>
  </si>
  <si>
    <t xml:space="preserve">M01-AD-04-F14</t>
  </si>
  <si>
    <t xml:space="preserve">Applies to</t>
  </si>
  <si>
    <t xml:space="preserve">m01.ad04.reserved_names.applies.label</t>
  </si>
  <si>
    <t xml:space="preserve">business name, page address</t>
  </si>
  <si>
    <t xml:space="preserve">M01-TC-037, M01-TC-143</t>
  </si>
  <si>
    <t xml:space="preserve">M01-AD-04-F15</t>
  </si>
  <si>
    <t xml:space="preserve">m01.ad04.reserved_names.reason.label</t>
  </si>
  <si>
    <t xml:space="preserve">M01-TC-175</t>
  </si>
  <si>
    <t xml:space="preserve">M01-AD-04-F16</t>
  </si>
  <si>
    <t xml:space="preserve">Check existing names — matching business names and page addresses</t>
  </si>
  <si>
    <t xml:space="preserve">m01.ad04.reserved_names.check_existing_matching_business.text</t>
  </si>
  <si>
    <t xml:space="preserve">listed before sending; stores keep their names; each match goes to M12 as a reserved-name case</t>
  </si>
  <si>
    <t xml:space="preserve">“3 existing stores match ‘{name}’. They keep their names; each match goes to moderation (M12) as a reserved-name case.”</t>
  </si>
  <si>
    <t xml:space="preserve">matches[]</t>
  </si>
  <si>
    <t xml:space="preserve">GET /v1/admin/reserved-names/matches?name=</t>
  </si>
  <si>
    <t xml:space="preserve">— (derived: url_slugs.slug and M03 business names)</t>
  </si>
  <si>
    <t xml:space="preserve">M01-FR-URL-009</t>
  </si>
  <si>
    <t xml:space="preserve">M01-AD-04-F17  ⚠ OI-35</t>
  </si>
  <si>
    <t xml:space="preserve">Retire</t>
  </si>
  <si>
    <t xml:space="preserve">Retire — reason</t>
  </si>
  <si>
    <t xml:space="preserve">m01.ad04.reserved_names.retire_reason.label</t>
  </si>
  <si>
    <t xml:space="preserve">POST /v1/admin/reserved-names/{id}/retire</t>
  </si>
  <si>
    <t xml:space="preserve">— (no column: reserved_names has only active; reason only in config_versions / audit_log)</t>
  </si>
  <si>
    <t xml:space="preserve">M01-AD-05-F01  ⚠ OI-39</t>
  </si>
  <si>
    <t xml:space="preserve">Year view</t>
  </si>
  <si>
    <t xml:space="preserve">Country (year view per country; India at launch)</t>
  </si>
  <si>
    <t xml:space="preserve">m01.ad05.holiday_calendar.country.label</t>
  </si>
  <si>
    <t xml:space="preserve">one country at a time</t>
  </si>
  <si>
    <t xml:space="preserve">IN</t>
  </si>
  <si>
    <t xml:space="preserve">country</t>
  </si>
  <si>
    <t xml:space="preserve">GET /v1/admin/holidays?country=&amp;year=</t>
  </si>
  <si>
    <t xml:space="preserve">business_holidays.country</t>
  </si>
  <si>
    <t xml:space="preserve">M01-FR-LOC-013</t>
  </si>
  <si>
    <t xml:space="preserve">M01-6 §12.6; M01-5 §13.5; M01-3 §4.2, §7</t>
  </si>
  <si>
    <t xml:space="preserve">M01-AD-05-F02</t>
  </si>
  <si>
    <t xml:space="preserve">Year (year switcher)</t>
  </si>
  <si>
    <t xml:space="preserve">m01.ad05.holiday_calendar.year.label</t>
  </si>
  <si>
    <t xml:space="preserve">calendar year; empty: “No holidays for {year}. Add one or import the year.”</t>
  </si>
  <si>
    <t xml:space="preserve">current year</t>
  </si>
  <si>
    <t xml:space="preserve">“Next year’s calendar isn’t loaded yet. Please import it before 1 January.” (from 1 November)</t>
  </si>
  <si>
    <t xml:space="preserve">year</t>
  </si>
  <si>
    <t xml:space="preserve">— (derived: year of business_holidays.holiday_on)</t>
  </si>
  <si>
    <t xml:space="preserve">M01-AD-05-F03</t>
  </si>
  <si>
    <t xml:space="preserve">Year view — 12 small months with holidays marked</t>
  </si>
  <si>
    <t xml:space="preserve">m01.ad05.holiday_calendar.year_view_12_small.text</t>
  </si>
  <si>
    <t xml:space="preserve">— (derived from business_holidays.holiday_on)</t>
  </si>
  <si>
    <t xml:space="preserve">M01-AD-05-F04</t>
  </si>
  <si>
    <t xml:space="preserve">List view</t>
  </si>
  <si>
    <t xml:space="preserve">Date</t>
  </si>
  <si>
    <t xml:space="preserve">m01.ad05.holiday_calendar.date.column</t>
  </si>
  <si>
    <t xml:space="preserve">holidayOn</t>
  </si>
  <si>
    <t xml:space="preserve">business_holidays.holiday_on</t>
  </si>
  <si>
    <t xml:space="preserve">date</t>
  </si>
  <si>
    <t xml:space="preserve">M01-FR-LOC-012</t>
  </si>
  <si>
    <t xml:space="preserve">M01-TC-141</t>
  </si>
  <si>
    <t xml:space="preserve">M01-AD-05-F05</t>
  </si>
  <si>
    <t xml:space="preserve">m01.ad05.holiday_calendar.name.column</t>
  </si>
  <si>
    <t xml:space="preserve">business_holidays.name_key (translation key, e.g. holiday.diwali)</t>
  </si>
  <si>
    <t xml:space="preserve">M01-AD-05-F06</t>
  </si>
  <si>
    <t xml:space="preserve">Kind (national or company)</t>
  </si>
  <si>
    <t xml:space="preserve">m01.ad05.holiday_calendar.kind.column</t>
  </si>
  <si>
    <t xml:space="preserve">national or company</t>
  </si>
  <si>
    <t xml:space="preserve">business_holidays.kind</t>
  </si>
  <si>
    <t xml:space="preserve">M01-AD-05-F07</t>
  </si>
  <si>
    <t xml:space="preserve">m01.ad05.holiday_calendar.active_retired.column</t>
  </si>
  <si>
    <t xml:space="preserve">business_holidays.active</t>
  </si>
  <si>
    <t xml:space="preserve">M01-AD-05-F08</t>
  </si>
  <si>
    <t xml:space="preserve">Add holiday</t>
  </si>
  <si>
    <t xml:space="preserve">m01.ad05.holiday_calendar.date.label</t>
  </si>
  <si>
    <t xml:space="preserve">a real date; UNIQUE (country, holiday_on)</t>
  </si>
  <si>
    <t xml:space="preserve">“This date is already a holiday.” · “This date is a Sunday — Sundays are already skipped.”</t>
  </si>
  <si>
    <t xml:space="preserve">POST /v1/admin/holidays (draftId)</t>
  </si>
  <si>
    <t xml:space="preserve">M01-FR-LOC-012, M01-FR-LOC-013</t>
  </si>
  <si>
    <t xml:space="preserve">M01-TC-141, M01-TC-176</t>
  </si>
  <si>
    <t xml:space="preserve">M01-AD-05-F09  ⚠ OI-38</t>
  </si>
  <si>
    <t xml:space="preserve">m01.ad05.holiday_calendar.name.label</t>
  </si>
  <si>
    <t xml:space="preserve">business_holidays.name_key (translation key; the typed text goes to the translation store)</t>
  </si>
  <si>
    <t xml:space="preserve">M01-AD-05-F10</t>
  </si>
  <si>
    <t xml:space="preserve">m01.ad05.holiday_calendar.kind.label</t>
  </si>
  <si>
    <t xml:space="preserve">M01-AD-05-F11</t>
  </si>
  <si>
    <t xml:space="preserve">Import year</t>
  </si>
  <si>
    <t xml:space="preserve">Import year — CSV file (date, name, kind for one country)</t>
  </si>
  <si>
    <t xml:space="preserve">m01.ad05.holiday_calendar.import_year_csv_file.label</t>
  </si>
  <si>
    <t xml:space="preserve">one country per file; the whole file is refused if any row is wrong (nothing half-loaded); loaded as a draft</t>
  </si>
  <si>
    <t xml:space="preserve">“Row 7: date ‘31-02-2027’ isn’t a real date.”</t>
  </si>
  <si>
    <t xml:space="preserve">POST /v1/admin/holidays/import</t>
  </si>
  <si>
    <t xml:space="preserve">business_holidays.holiday_on / name_key / kind (rows of the draft)</t>
  </si>
  <si>
    <t xml:space="preserve">date / text / text</t>
  </si>
  <si>
    <t xml:space="preserve">M01-TC-176</t>
  </si>
  <si>
    <t xml:space="preserve">M01-AD-06-F01  ⚠ OI-44</t>
  </si>
  <si>
    <t xml:space="preserve">Filters (referred to by “No policies match these filters.”; not specified)</t>
  </si>
  <si>
    <t xml:space="preserve">m01.ad06.rate_limits.filters.label</t>
  </si>
  <si>
    <t xml:space="preserve">not specified in M01-6 §12.7</t>
  </si>
  <si>
    <t xml:space="preserve">Staff — Super Admin, Admin only (limits are high impact: a Super Admin approves)</t>
  </si>
  <si>
    <t xml:space="preserve">GET /v1/admin/rate-limits</t>
  </si>
  <si>
    <t xml:space="preserve">M01-FR-RTL-002</t>
  </si>
  <si>
    <t xml:space="preserve">M01-6 §12.7; M01-5 §8.3, §8.4; M01-3 §4.2, §10; M01-2 §18</t>
  </si>
  <si>
    <t xml:space="preserve">M01-AD-06-F02</t>
  </si>
  <si>
    <t xml:space="preserve">Module / endpoint group (e.g. M01 / photo upload, M02 / OTP request)</t>
  </si>
  <si>
    <t xml:space="preserve">m01.ad06.rate_limits.module_endpoint_group.column</t>
  </si>
  <si>
    <t xml:space="preserve">policy list grouped by module and endpoint group</t>
  </si>
  <si>
    <t xml:space="preserve">module · actionGroup</t>
  </si>
  <si>
    <t xml:space="preserve">rate_limit_policies.module / action_group</t>
  </si>
  <si>
    <t xml:space="preserve">M01-FR-RTL-001, M01-FR-RTL-006</t>
  </si>
  <si>
    <t xml:space="preserve">M01-TC-123</t>
  </si>
  <si>
    <t xml:space="preserve">M01-AD-06-F03  ⚠ OI-40</t>
  </si>
  <si>
    <t xml:space="preserve">Key (visitor IP or device, account, plan, API key)</t>
  </si>
  <si>
    <t xml:space="preserve">m01.ad06.rate_limits.key.column</t>
  </si>
  <si>
    <t xml:space="preserve">ip, device, account, plan, api_key — signed-in users always counted by account</t>
  </si>
  <si>
    <t xml:space="preserve">keyType</t>
  </si>
  <si>
    <t xml:space="preserve">rate_limit_policies.key_type</t>
  </si>
  <si>
    <t xml:space="preserve">M01-FR-RTL-001</t>
  </si>
  <si>
    <t xml:space="preserve">M01-TC-121, M01-TC-197</t>
  </si>
  <si>
    <t xml:space="preserve">M01-AD-06-F04</t>
  </si>
  <si>
    <t xml:space="preserve">List / Edit</t>
  </si>
  <si>
    <t xml:space="preserve">Limit</t>
  </si>
  <si>
    <t xml:space="preserve">m01.ad06.rate_limits.limit.label</t>
  </si>
  <si>
    <t xml:space="preserve">whole number above 0 (requests per window)</t>
  </si>
  <si>
    <t xml:space="preserve">per group (M01-3 §10), e.g. photo upload 100 per hour</t>
  </si>
  <si>
    <t xml:space="preserve">“Limit must be a whole number above 0.”</t>
  </si>
  <si>
    <t xml:space="preserve">limitCount</t>
  </si>
  <si>
    <t xml:space="preserve">PATCH /v1/admin/rate-limits/{module}/{group} (draftId)</t>
  </si>
  <si>
    <t xml:space="preserve">rate_limit_policies.limit_count (setting rate_limit.&lt;module&gt;.&lt;action_group&gt;)</t>
  </si>
  <si>
    <t xml:space="preserve">M01-TC-177</t>
  </si>
  <si>
    <t xml:space="preserve">M01-AD-06-F05  ⚠ OI-45</t>
  </si>
  <si>
    <t xml:space="preserve">Time window</t>
  </si>
  <si>
    <t xml:space="preserve">m01.ad06.rate_limits.time_window.label</t>
  </si>
  <si>
    <t xml:space="preserve">1 s–1 day (seconds)</t>
  </si>
  <si>
    <t xml:space="preserve">per group (e.g. 3600)</t>
  </si>
  <si>
    <t xml:space="preserve">windowS</t>
  </si>
  <si>
    <t xml:space="preserve">rate_limit_policies.window_s</t>
  </si>
  <si>
    <t xml:space="preserve">M01-FR-RTL-001, M01-FR-RTL-002</t>
  </si>
  <si>
    <t xml:space="preserve">M01-AD-06-F06  ⚠ OI-41</t>
  </si>
  <si>
    <t xml:space="preserve">Action on breach (wait message, challenge, 15-minute block, security event)</t>
  </si>
  <si>
    <t xml:space="preserve">m01.ad06.rate_limits.action_breach.label</t>
  </si>
  <si>
    <t xml:space="preserve">wait, challenge, block_15m, security_event; visitors always get a challenge before a block</t>
  </si>
  <si>
    <t xml:space="preserve">per group</t>
  </si>
  <si>
    <t xml:space="preserve">onBreach</t>
  </si>
  <si>
    <t xml:space="preserve">rate_limit_policies.on_breach</t>
  </si>
  <si>
    <t xml:space="preserve">M01-FR-RTL-005</t>
  </si>
  <si>
    <t xml:space="preserve">M01-TC-086</t>
  </si>
  <si>
    <t xml:space="preserve">M01-AD-06-F07</t>
  </si>
  <si>
    <t xml:space="preserve">Overrides by plan, role and country — Add override</t>
  </si>
  <si>
    <t xml:space="preserve">m01.ad06.rate_limits.overrides_by_plan.label</t>
  </si>
  <si>
    <t xml:space="preserve">[control detail: Dropdown + Number] scope plan, role or country + limit</t>
  </si>
  <si>
    <t xml:space="preserve">overrides</t>
  </si>
  <si>
    <t xml:space="preserve">POST /v1/admin/rate-limits/{module}/{group}/overrides · DELETE …/overrides/{scope}</t>
  </si>
  <si>
    <t xml:space="preserve">rate_limit_policies.overrides</t>
  </si>
  <si>
    <t xml:space="preserve">M01-TC-085</t>
  </si>
  <si>
    <t xml:space="preserve">M01-AD-06-F08  ⚠ OI-42</t>
  </si>
  <si>
    <t xml:space="preserve">Side panel</t>
  </si>
  <si>
    <t xml:space="preserve">Blocks in the last 24 hours for the selected policy (count only)</t>
  </si>
  <si>
    <t xml:space="preserve">m01.ad06.rate_limits.blocks_last_24.text</t>
  </si>
  <si>
    <t xml:space="preserve">count only; permanent blocks are set in the Operations Console (M15)</t>
  </si>
  <si>
    <t xml:space="preserve">blockCount24h (proposal)</t>
  </si>
  <si>
    <t xml:space="preserve">— (derived count from rate_limit_blocks; no policy link column)</t>
  </si>
  <si>
    <t xml:space="preserve">M01-AD-06-F09  ⚠ OI-43</t>
  </si>
  <si>
    <t xml:space="preserve">Top of the screen</t>
  </si>
  <si>
    <t xml:space="preserve">Block length (rate_limit.block_minutes)</t>
  </si>
  <si>
    <t xml:space="preserve">m01.ad06.rate_limits.block_length.label</t>
  </si>
  <si>
    <t xml:space="preserve">5–1,440 minutes; level High</t>
  </si>
  <si>
    <t xml:space="preserve">PATCH /v1/admin/settings/{key} (from the Rate limits screen)</t>
  </si>
  <si>
    <t xml:space="preserve">setting rate_limit.block_minutes</t>
  </si>
  <si>
    <t xml:space="preserve">M01-TC-220</t>
  </si>
  <si>
    <t xml:space="preserve">M01-2 §18, RTL-005</t>
  </si>
  <si>
    <t xml:space="preserve">M01-AD-07-F01  ⚠ OI-47</t>
  </si>
  <si>
    <t xml:space="preserve">Month picker (past months)</t>
  </si>
  <si>
    <t xml:space="preserve">m01.ad07.ai_usage_budgets.month_picker.label</t>
  </si>
  <si>
    <t xml:space="preserve">current and past months; empty: “No AI calls this month.”</t>
  </si>
  <si>
    <t xml:space="preserve">current month</t>
  </si>
  <si>
    <t xml:space="preserve">Staff — Super Admin, Admin (view, edit); Finance (view, draft budget changes); other roles: no access</t>
  </si>
  <si>
    <t xml:space="preserve">month</t>
  </si>
  <si>
    <t xml:space="preserve">GET /v1/admin/ai/usage?month=</t>
  </si>
  <si>
    <t xml:space="preserve">— (derived: month of ai_requests.created_at)</t>
  </si>
  <si>
    <t xml:space="preserve">M01-FR-AIG-003, M01-FR-AIG-006</t>
  </si>
  <si>
    <t xml:space="preserve">M01-6 §12.8; M01-5 §13.1, §13.2; M01-3 §4.2, §14; M01-2 §17, §18</t>
  </si>
  <si>
    <t xml:space="preserve">M01-AD-07-F02</t>
  </si>
  <si>
    <t xml:space="preserve">Module and purpose (e.g. M07 search embeddings, M12 moderation hints)</t>
  </si>
  <si>
    <t xml:space="preserve">m01.ad07.ai_usage_budgets.module_purpose.column</t>
  </si>
  <si>
    <t xml:space="preserve">UNIQUE (module, purpose); purpose “*” = all purposes of the module</t>
  </si>
  <si>
    <t xml:space="preserve">module · purpose</t>
  </si>
  <si>
    <t xml:space="preserve">GET /v1/admin/ai/usage?month= · GET /v1/admin/ai/budgets</t>
  </si>
  <si>
    <t xml:space="preserve">ai_budgets.module / purpose (and ai_requests.module / purpose)</t>
  </si>
  <si>
    <t xml:space="preserve">M01-FR-AIG-004</t>
  </si>
  <si>
    <t xml:space="preserve">M01-TC-178</t>
  </si>
  <si>
    <t xml:space="preserve">M01-AD-07-F03</t>
  </si>
  <si>
    <t xml:space="preserve">Calls this month</t>
  </si>
  <si>
    <t xml:space="preserve">m01.ad07.ai_usage_budgets.calls_month.column</t>
  </si>
  <si>
    <t xml:space="preserve">calls</t>
  </si>
  <si>
    <t xml:space="preserve">— (derived: count of ai_requests)</t>
  </si>
  <si>
    <t xml:space="preserve">M01-AD-07-F04</t>
  </si>
  <si>
    <t xml:space="preserve">Tokens in and out</t>
  </si>
  <si>
    <t xml:space="preserve">m01.ad07.ai_usage_budgets.tokens_out.column</t>
  </si>
  <si>
    <t xml:space="preserve">inputTokens · outputTokens</t>
  </si>
  <si>
    <t xml:space="preserve">— (derived: sum of ai_requests.input_tokens / output_tokens)</t>
  </si>
  <si>
    <t xml:space="preserve">int / int</t>
  </si>
  <si>
    <t xml:space="preserve">M01-AD-07-F05</t>
  </si>
  <si>
    <t xml:space="preserve">Cost this month</t>
  </si>
  <si>
    <t xml:space="preserve">m01.ad07.ai_usage_budgets.cost_month.column</t>
  </si>
  <si>
    <t xml:space="preserve">reconciled hourly; totals rounded to 2 decimals</t>
  </si>
  <si>
    <t xml:space="preserve">“Cost figures are up to 1 hour behind.”</t>
  </si>
  <si>
    <t xml:space="preserve">spentThisMonth</t>
  </si>
  <si>
    <t xml:space="preserve">ai_budgets.spent_this_month (sum of ai_requests.cost_amount)</t>
  </si>
  <si>
    <t xml:space="preserve">numeric(16,6)</t>
  </si>
  <si>
    <t xml:space="preserve">M01-FR-AIG-004, M01-FR-AIG-006</t>
  </si>
  <si>
    <t xml:space="preserve">M01-AD-07-F06</t>
  </si>
  <si>
    <t xml:space="preserve">Monthly budget (bar and percentage)</t>
  </si>
  <si>
    <t xml:space="preserve">m01.ad07.ai_usage_budgets.monthly_budget.column</t>
  </si>
  <si>
    <t xml:space="preserve">“{Purpose} has used 82 % of its budget ({amount} of {amount}).”</t>
  </si>
  <si>
    <t xml:space="preserve">monthlyLimit · currency</t>
  </si>
  <si>
    <t xml:space="preserve">ai_budgets.monthly_limit / currency</t>
  </si>
  <si>
    <t xml:space="preserve">numeric(16,6) / char(3)</t>
  </si>
  <si>
    <t xml:space="preserve">M01-AD-07-F07</t>
  </si>
  <si>
    <t xml:space="preserve">Alert state (none, 80 % reached, 100 % reached)</t>
  </si>
  <si>
    <t xml:space="preserve">m01.ad07.ai_usage_budgets.alert_state.column</t>
  </si>
  <si>
    <t xml:space="preserve">none, 80 % reached, 100 % reached</t>
  </si>
  <si>
    <t xml:space="preserve">alertState (proposal)</t>
  </si>
  <si>
    <t xml:space="preserve">— (derived: spent_this_month against alert_levels)</t>
  </si>
  <si>
    <t xml:space="preserve">M01-TC-149, M01-TC-178</t>
  </si>
  <si>
    <t xml:space="preserve">M01-AD-07-F08  ⚠ OI-46</t>
  </si>
  <si>
    <t xml:space="preserve">Essential or non-essential</t>
  </si>
  <si>
    <t xml:space="preserve">m01.ad07.ai_usage_budgets.essential_non_essential.column</t>
  </si>
  <si>
    <t xml:space="preserve">essential purposes are never paused; they alert at 100 %</t>
  </si>
  <si>
    <t xml:space="preserve">“Essential purposes are never paused; they alert at 100 %.”</t>
  </si>
  <si>
    <t xml:space="preserve">isEssential</t>
  </si>
  <si>
    <t xml:space="preserve">ai_budgets.is_essential</t>
  </si>
  <si>
    <t xml:space="preserve">M01-TC-149</t>
  </si>
  <si>
    <t xml:space="preserve">M01-AD-07-F09</t>
  </si>
  <si>
    <t xml:space="preserve">Pause state (“Paused since {date}”)</t>
  </si>
  <si>
    <t xml:space="preserve">m01.ad07.ai_usage_budgets.pause_state.column</t>
  </si>
  <si>
    <t xml:space="preserve">non-essential purpose at 100 %; cleared at month start or when the limit is raised</t>
  </si>
  <si>
    <t xml:space="preserve">“{Purpose} is paused: it reached 100 % of its budget. The feature works without AI until the budget is raised or the month ends.”</t>
  </si>
  <si>
    <t xml:space="preserve">pausedAt</t>
  </si>
  <si>
    <t xml:space="preserve">ai_budgets.paused_at</t>
  </si>
  <si>
    <t xml:space="preserve">M01-AD-07-F10</t>
  </si>
  <si>
    <t xml:space="preserve">Totals per module and for the platform</t>
  </si>
  <si>
    <t xml:space="preserve">m01.ad07.ai_usage_budgets.totals_module_platform.text</t>
  </si>
  <si>
    <t xml:space="preserve">totals</t>
  </si>
  <si>
    <t xml:space="preserve">M01-FR-AIG-006</t>
  </si>
  <si>
    <t xml:space="preserve">M01-AD-07-F11</t>
  </si>
  <si>
    <t xml:space="preserve">Edit budget</t>
  </si>
  <si>
    <t xml:space="preserve">Monthly amount</t>
  </si>
  <si>
    <t xml:space="preserve">m01.ad07.ai_usage_budgets.monthly_amount.label</t>
  </si>
  <si>
    <t xml:space="preserve">0 or more; USD per month; preview “At the current rate this purpose reaches its budget on {date}”; high impact</t>
  </si>
  <si>
    <t xml:space="preserve">total [TBC: tech lead AWS estimate] split moderation 40 %, translation 30 %, search 20 %, other 10 %</t>
  </si>
  <si>
    <t xml:space="preserve">monthlyLimit</t>
  </si>
  <si>
    <t xml:space="preserve">PATCH /v1/admin/ai/budgets/{id} (draftId)</t>
  </si>
  <si>
    <t xml:space="preserve">ai_budgets.monthly_limit (setting ai_budgets.&lt;module&gt;.&lt;purpose&gt;)</t>
  </si>
  <si>
    <t xml:space="preserve">M01-TC-149, M01-TC-178, M01-TC-184</t>
  </si>
  <si>
    <t xml:space="preserve">M01-AD-07-F12  ⚠ OI-48</t>
  </si>
  <si>
    <t xml:space="preserve">Alert levels</t>
  </si>
  <si>
    <t xml:space="preserve">m01.ad07.ai_usage_budgets.alert_levels.label</t>
  </si>
  <si>
    <t xml:space="preserve">[control detail: Number (list, %)] per cent</t>
  </si>
  <si>
    <t xml:space="preserve">{80, 100}</t>
  </si>
  <si>
    <t xml:space="preserve">alertLevels</t>
  </si>
  <si>
    <t xml:space="preserve">ai_budgets.alert_levels</t>
  </si>
  <si>
    <t xml:space="preserve">M01-AD-08-F01</t>
  </si>
  <si>
    <t xml:space="preserve">Search form</t>
  </si>
  <si>
    <t xml:space="preserve">Time range</t>
  </si>
  <si>
    <t xml:space="preserve">m01.ad08.time_range.label</t>
  </si>
  <si>
    <t xml:space="preserve">[control detail: Date-time (range)] search too wide is refused; 20 per page, newest first, cursor paging</t>
  </si>
  <si>
    <t xml:space="preserve">Staff — Super Admin, Admin (all); Moderator, Senior Moderator (items under review); Finance (payment, refund, invoice records); Support (account summary); Content Editor: no access</t>
  </si>
  <si>
    <t xml:space="preserve">“Search too wide — choose a shorter time range or add an actor or target.”</t>
  </si>
  <si>
    <t xml:space="preserve">from · to</t>
  </si>
  <si>
    <t xml:space="preserve">GET /v1/admin/audit</t>
  </si>
  <si>
    <t xml:space="preserve">M01-FR-AUD-005, M01-FR-AUD-006, M01-FR-AUD-008</t>
  </si>
  <si>
    <t xml:space="preserve">M01-TC-046, M01-TC-179</t>
  </si>
  <si>
    <t xml:space="preserve">M01-6 §12.9; M01-5 §7.1; M01-3 §4, §6</t>
  </si>
  <si>
    <t xml:space="preserve">M01-AD-08-F02</t>
  </si>
  <si>
    <t xml:space="preserve">Actor (staff or user ID)</t>
  </si>
  <si>
    <t xml:space="preserve">m01.ad08.actor.label</t>
  </si>
  <si>
    <t xml:space="preserve">staff or user ID</t>
  </si>
  <si>
    <t xml:space="preserve">actorId</t>
  </si>
  <si>
    <t xml:space="preserve">audit_log.actor_id</t>
  </si>
  <si>
    <t xml:space="preserve">M01-FR-AUD-008</t>
  </si>
  <si>
    <t xml:space="preserve">M01-TC-179</t>
  </si>
  <si>
    <t xml:space="preserve">M01-AD-08-F03</t>
  </si>
  <si>
    <t xml:space="preserve">Action</t>
  </si>
  <si>
    <t xml:space="preserve">m01.ad08.action.label</t>
  </si>
  <si>
    <t xml:space="preserve">[control detail: Dropdown / Text] e.g. listing.approve, account.ban, config.publish, document.view, file.location_view, legal_hold.release, job.discard</t>
  </si>
  <si>
    <t xml:space="preserve">action</t>
  </si>
  <si>
    <t xml:space="preserve">audit_log.action</t>
  </si>
  <si>
    <t xml:space="preserve">M01-AD-08-F04</t>
  </si>
  <si>
    <t xml:space="preserve">Target (type and ID)</t>
  </si>
  <si>
    <t xml:space="preserve">m01.ad08.target.label</t>
  </si>
  <si>
    <t xml:space="preserve">[control detail: Dropdown + Text] target types: account, staff_user, profile, listing, requirement, thread, message, quotation, trade, review, verification_case, moderation_case, legal_order, subscription, invoice, file, config_version, legal_hold</t>
  </si>
  <si>
    <t xml:space="preserve">targetType · targetId</t>
  </si>
  <si>
    <t xml:space="preserve">audit_log.target_type / target_id</t>
  </si>
  <si>
    <t xml:space="preserve">text / uuid</t>
  </si>
  <si>
    <t xml:space="preserve">M01-FR-AUD-005, M01-FR-AUD-008</t>
  </si>
  <si>
    <t xml:space="preserve">M01-TC-044, M01-TC-179</t>
  </si>
  <si>
    <t xml:space="preserve">M01-AD-08-F05</t>
  </si>
  <si>
    <t xml:space="preserve">Results</t>
  </si>
  <si>
    <t xml:space="preserve">Time</t>
  </si>
  <si>
    <t xml:space="preserve">m01.ad08.time.column</t>
  </si>
  <si>
    <t xml:space="preserve">M01-AD-08-F06</t>
  </si>
  <si>
    <t xml:space="preserve">Actor and role</t>
  </si>
  <si>
    <t xml:space="preserve">m01.ad08.actor_role.column</t>
  </si>
  <si>
    <t xml:space="preserve">Support sees role only (e.g. “OudhTrade staff”)</t>
  </si>
  <si>
    <t xml:space="preserve">actorId · actorRole</t>
  </si>
  <si>
    <t xml:space="preserve">audit_log.actor_id / actor_role (actor_type)</t>
  </si>
  <si>
    <t xml:space="preserve">uuid / text</t>
  </si>
  <si>
    <t xml:space="preserve">M01-AD-08-F07</t>
  </si>
  <si>
    <t xml:space="preserve">m01.ad08.action.column</t>
  </si>
  <si>
    <t xml:space="preserve">M01-AD-08-F08</t>
  </si>
  <si>
    <t xml:space="preserve">Target</t>
  </si>
  <si>
    <t xml:space="preserve">m01.ad08.target.column</t>
  </si>
  <si>
    <t xml:space="preserve">M01-AD-08-F09</t>
  </si>
  <si>
    <t xml:space="preserve">m01.ad08.reason.column</t>
  </si>
  <si>
    <t xml:space="preserve">audit_log.reason</t>
  </si>
  <si>
    <t xml:space="preserve">M01-AD-08-F10</t>
  </si>
  <si>
    <t xml:space="preserve">Record detail</t>
  </si>
  <si>
    <t xml:space="preserve">Before and after values side by side (ID numbers masked)</t>
  </si>
  <si>
    <t xml:space="preserve">m01.ad08.before_after_values.text</t>
  </si>
  <si>
    <t xml:space="preserve">masked personal data</t>
  </si>
  <si>
    <t xml:space="preserve">Staff — Super Admin, Admin, Moderator, Finance (not Support)</t>
  </si>
  <si>
    <t xml:space="preserve">before · after</t>
  </si>
  <si>
    <t xml:space="preserve">GET /v1/admin/audit/{id}</t>
  </si>
  <si>
    <t xml:space="preserve">audit_log.before / after</t>
  </si>
  <si>
    <t xml:space="preserve">jsonb / jsonb</t>
  </si>
  <si>
    <t xml:space="preserve">M01-TC-180</t>
  </si>
  <si>
    <t xml:space="preserve">M01-AD-08-F11</t>
  </si>
  <si>
    <t xml:space="preserve">IP and device</t>
  </si>
  <si>
    <t xml:space="preserve">m01.ad08.ip_device.text</t>
  </si>
  <si>
    <t xml:space="preserve">Staff — Super Admin, Admin only</t>
  </si>
  <si>
    <t xml:space="preserve">ip · userAgent</t>
  </si>
  <si>
    <t xml:space="preserve">audit_log.ip / user_agent</t>
  </si>
  <si>
    <t xml:space="preserve">inet / text</t>
  </si>
  <si>
    <t xml:space="preserve">M01-FR-AUD-002, M01-FR-AUD-008</t>
  </si>
  <si>
    <t xml:space="preserve">M01-AD-08-F12</t>
  </si>
  <si>
    <t xml:space="preserve">Request ID</t>
  </si>
  <si>
    <t xml:space="preserve">m01.ad08.request_id.text</t>
  </si>
  <si>
    <t xml:space="preserve">audit_log.request_id</t>
  </si>
  <si>
    <t xml:space="preserve">M01-AD-08-F13  ⚠ OI-49</t>
  </si>
  <si>
    <t xml:space="preserve">Chain check result</t>
  </si>
  <si>
    <t xml:space="preserve">m01.ad08.chain_check_result.text</t>
  </si>
  <si>
    <t xml:space="preserve">“Chain intact — checked {date time}” · “Not yet sealed — records are sealed every 5 minutes” · “Sealed, not yet checked — the daily check runs at {time}” · in red “Chain break found — the tech lead has been alerted”</t>
  </si>
  <si>
    <t xml:space="preserve">chainCheck (proposal)</t>
  </si>
  <si>
    <t xml:space="preserve">audit_verify_runs.result / first_broken_id (latest run for the month; the chain itself is audit_log.hash / prev_hash)</t>
  </si>
  <si>
    <t xml:space="preserve">M01-TC-043, M01-TC-180</t>
  </si>
  <si>
    <t xml:space="preserve">M01-AD-08-F14</t>
  </si>
  <si>
    <t xml:space="preserve">Export</t>
  </si>
  <si>
    <t xml:space="preserve">Export format (CSV or JSON)</t>
  </si>
  <si>
    <t xml:space="preserve">m01.ad08.export_format.label</t>
  </si>
  <si>
    <t xml:space="preserve">CSV or JSON; CSV cells starting with = + - @ are escaped</t>
  </si>
  <si>
    <t xml:space="preserve">Staff — Super Admin only</t>
  </si>
  <si>
    <t xml:space="preserve">format</t>
  </si>
  <si>
    <t xml:space="preserve">POST /v1/admin/audit/export</t>
  </si>
  <si>
    <t xml:space="preserve">M01-FR-AUD-007</t>
  </si>
  <si>
    <t xml:space="preserve">M01-TC-156, M01-TC-181</t>
  </si>
  <si>
    <t xml:space="preserve">M01-AD-08-F15</t>
  </si>
  <si>
    <t xml:space="preserve">“Why are you exporting these records? (e.g. police request number)”</t>
  </si>
  <si>
    <t xml:space="preserve">m01.ad08.why_are_you.label</t>
  </si>
  <si>
    <t xml:space="preserve">“A reason is required to export.”</t>
  </si>
  <si>
    <t xml:space="preserve">audit_log.reason (of the export’s own audit record)</t>
  </si>
  <si>
    <t xml:space="preserve">M01-TC-047, M01-TC-181</t>
  </si>
  <si>
    <t xml:space="preserve">M01-AD-09-F01</t>
  </si>
  <si>
    <t xml:space="preserve">Active, Released</t>
  </si>
  <si>
    <t xml:space="preserve">Tabs Active / Released</t>
  </si>
  <si>
    <t xml:space="preserve">m01.ad09.active_released.tabs_active_released.label</t>
  </si>
  <si>
    <t xml:space="preserve">active = released_at empty; released holds stay in the list; empty: “No active legal holds.”</t>
  </si>
  <si>
    <t xml:space="preserve">Active</t>
  </si>
  <si>
    <t xml:space="preserve">Staff — Super Admin, Admin (place, release); Moderator (view holds on items they review); other roles: no access</t>
  </si>
  <si>
    <t xml:space="preserve">status (proposal)</t>
  </si>
  <si>
    <t xml:space="preserve">GET /v1/admin/legal-holds</t>
  </si>
  <si>
    <t xml:space="preserve">legal_holds.released_at (null = active)</t>
  </si>
  <si>
    <t xml:space="preserve">M01-FR-RET-004</t>
  </si>
  <si>
    <t xml:space="preserve">M01-TC-186</t>
  </si>
  <si>
    <t xml:space="preserve">M01-6 §12.10; M01-5 §10.2, §11.1; M01-3 §4</t>
  </si>
  <si>
    <t xml:space="preserve">M01-AD-09-F02  ⚠ OI-50</t>
  </si>
  <si>
    <t xml:space="preserve">Filter scope type</t>
  </si>
  <si>
    <t xml:space="preserve">m01.ad09.active_released.filter_scope_type.label</t>
  </si>
  <si>
    <t xml:space="preserve">account, profile, listing, message thread, trade, file, legal order</t>
  </si>
  <si>
    <t xml:space="preserve">legal_holds.scope_type</t>
  </si>
  <si>
    <t xml:space="preserve">M01-AD-09-F03</t>
  </si>
  <si>
    <t xml:space="preserve">Filter placed by</t>
  </si>
  <si>
    <t xml:space="preserve">m01.ad09.active_released.filter_placed_by.label</t>
  </si>
  <si>
    <t xml:space="preserve">staff or System (takedown)</t>
  </si>
  <si>
    <t xml:space="preserve">placedBy</t>
  </si>
  <si>
    <t xml:space="preserve">legal_holds.placed_by</t>
  </si>
  <si>
    <t xml:space="preserve">M01-AD-09-F04</t>
  </si>
  <si>
    <t xml:space="preserve">Filter date</t>
  </si>
  <si>
    <t xml:space="preserve">m01.ad09.active_released.filter_date.label</t>
  </si>
  <si>
    <t xml:space="preserve">placedAt (proposal)</t>
  </si>
  <si>
    <t xml:space="preserve">legal_holds.placed_at</t>
  </si>
  <si>
    <t xml:space="preserve">M01-AD-09-F05</t>
  </si>
  <si>
    <t xml:space="preserve">Search by ID or reference</t>
  </si>
  <si>
    <t xml:space="preserve">m01.ad09.active_released.search_by_id.label</t>
  </si>
  <si>
    <t xml:space="preserve">legal_holds.scope_id / reference</t>
  </si>
  <si>
    <t xml:space="preserve">M01-AD-09-F06</t>
  </si>
  <si>
    <t xml:space="preserve">Scope (type, ID and name)</t>
  </si>
  <si>
    <t xml:space="preserve">m01.ad09.active_released.scope.column</t>
  </si>
  <si>
    <t xml:space="preserve">account, profile, listing, message thread, trade, file or legal order (one list, M01-5 §11.1)</t>
  </si>
  <si>
    <t xml:space="preserve">scopeType · scopeId</t>
  </si>
  <si>
    <t xml:space="preserve">legal_holds.scope_type / scope_id (name resolved by the owning module)</t>
  </si>
  <si>
    <t xml:space="preserve">M01-TC-185</t>
  </si>
  <si>
    <t xml:space="preserve">M01-AD-09-F07</t>
  </si>
  <si>
    <t xml:space="preserve">m01.ad09.active_released.reason.column</t>
  </si>
  <si>
    <t xml:space="preserve">legal_holds.reason</t>
  </si>
  <si>
    <t xml:space="preserve">M01-AD-09-F08</t>
  </si>
  <si>
    <t xml:space="preserve">Reference (e.g. court order or police request number)</t>
  </si>
  <si>
    <t xml:space="preserve">m01.ad09.active_released.reference.column</t>
  </si>
  <si>
    <t xml:space="preserve">reference</t>
  </si>
  <si>
    <t xml:space="preserve">legal_holds.reference</t>
  </si>
  <si>
    <t xml:space="preserve">M01-AD-09-F09</t>
  </si>
  <si>
    <t xml:space="preserve">Placed by (“Placed by: System (takedown)” when automatic)</t>
  </si>
  <si>
    <t xml:space="preserve">m01.ad09.active_released.placed_by.column</t>
  </si>
  <si>
    <t xml:space="preserve">placed_by null = system (takedown, M12)</t>
  </si>
  <si>
    <t xml:space="preserve">M01-AD-09-F10</t>
  </si>
  <si>
    <t xml:space="preserve">Placed date</t>
  </si>
  <si>
    <t xml:space="preserve">m01.ad09.active_released.placed_date.column</t>
  </si>
  <si>
    <t xml:space="preserve">placedAt</t>
  </si>
  <si>
    <t xml:space="preserve">M01-AD-09-F11</t>
  </si>
  <si>
    <t xml:space="preserve">Released</t>
  </si>
  <si>
    <t xml:space="preserve">Released by</t>
  </si>
  <si>
    <t xml:space="preserve">m01.ad09.released.released_by.column</t>
  </si>
  <si>
    <t xml:space="preserve">releasedBy</t>
  </si>
  <si>
    <t xml:space="preserve">legal_holds.released_by</t>
  </si>
  <si>
    <t xml:space="preserve">M01-AD-09-F12</t>
  </si>
  <si>
    <t xml:space="preserve">Released date</t>
  </si>
  <si>
    <t xml:space="preserve">m01.ad09.released.date.column</t>
  </si>
  <si>
    <t xml:space="preserve">releasedAt</t>
  </si>
  <si>
    <t xml:space="preserve">legal_holds.released_at</t>
  </si>
  <si>
    <t xml:space="preserve">M01-AD-09-F13</t>
  </si>
  <si>
    <t xml:space="preserve">Release reason</t>
  </si>
  <si>
    <t xml:space="preserve">m01.ad09.released.release_reason.column</t>
  </si>
  <si>
    <t xml:space="preserve">releaseReason</t>
  </si>
  <si>
    <t xml:space="preserve">legal_holds.release_reason</t>
  </si>
  <si>
    <t xml:space="preserve">M01-AD-09-F14  ⚠ OI-51</t>
  </si>
  <si>
    <t xml:space="preserve">What the hold covers, with counts (e.g. “1 account, 12 listings, 340 messages, 58 files”)</t>
  </si>
  <si>
    <t xml:space="preserve">m01.ad09.active.what_hold_covers.text</t>
  </si>
  <si>
    <t xml:space="preserve">coverage</t>
  </si>
  <si>
    <t xml:space="preserve">GET /v1/admin/legal-holds/coverage?scopeType=&amp;scopeId=</t>
  </si>
  <si>
    <t xml:space="preserve">— (derived: holdCoverage)</t>
  </si>
  <si>
    <t xml:space="preserve">M01-AD-09-F15</t>
  </si>
  <si>
    <t xml:space="preserve">Place a hold</t>
  </si>
  <si>
    <t xml:space="preserve">Scope type</t>
  </si>
  <si>
    <t xml:space="preserve">m01.ad09.active.scope_type.label</t>
  </si>
  <si>
    <t xml:space="preserve">account, profile, listing, message thread, trade, file, legal order (stored: account, profile, listing, thread, trade, file, legal_order)</t>
  </si>
  <si>
    <t xml:space="preserve">Staff — Super Admin, Admin (legal_hold.place)</t>
  </si>
  <si>
    <t xml:space="preserve">POST /v1/admin/legal-holds</t>
  </si>
  <si>
    <t xml:space="preserve">M01-FR-RET-003, M01-FR-RET-004</t>
  </si>
  <si>
    <t xml:space="preserve">M01-AD-09-F16</t>
  </si>
  <si>
    <t xml:space="preserve">ID (enter or pick)</t>
  </si>
  <si>
    <t xml:space="preserve">m01.ad09.active.id.label</t>
  </si>
  <si>
    <t xml:space="preserve">an existing record ID</t>
  </si>
  <si>
    <t xml:space="preserve">“This ID doesn’t exist.” · “This item is already covered by hold {reference}.”</t>
  </si>
  <si>
    <t xml:space="preserve">scopeId</t>
  </si>
  <si>
    <t xml:space="preserve">legal_holds.scope_id</t>
  </si>
  <si>
    <t xml:space="preserve">M01-AD-09-F17</t>
  </si>
  <si>
    <t xml:space="preserve">m01.ad09.active.reason.label</t>
  </si>
  <si>
    <t xml:space="preserve">“A reason and a reference are required.”</t>
  </si>
  <si>
    <t xml:space="preserve">M01-AD-09-F18</t>
  </si>
  <si>
    <t xml:space="preserve">m01.ad09.active.reference.label</t>
  </si>
  <si>
    <t xml:space="preserve">M01-AD-09-F19</t>
  </si>
  <si>
    <t xml:space="preserve">Release a hold</t>
  </si>
  <si>
    <t xml:space="preserve">What the next daily retention run would delete or anonymise</t>
  </si>
  <si>
    <t xml:space="preserve">m01.ad09.active.what_next_daily.text</t>
  </si>
  <si>
    <t xml:space="preserve">e.g. “If you release this hold, 58 files and 340 messages past their retention period will be deleted at the next daily run (02:00 IST).”</t>
  </si>
  <si>
    <t xml:space="preserve">Staff — Super Admin, Admin (legal_hold.release)</t>
  </si>
  <si>
    <t xml:space="preserve">releasePreview</t>
  </si>
  <si>
    <t xml:space="preserve">— (derived: coverage + retention_policies)</t>
  </si>
  <si>
    <t xml:space="preserve">M01-AD-09-F20</t>
  </si>
  <si>
    <t xml:space="preserve">m01.ad09.active.release_reason.label</t>
  </si>
  <si>
    <t xml:space="preserve">required when released_at is set (check)</t>
  </si>
  <si>
    <t xml:space="preserve">POST /v1/admin/legal-holds/{id}/release</t>
  </si>
  <si>
    <t xml:space="preserve">M01-AD-10-F01  ⚠ OI-52</t>
  </si>
  <si>
    <t xml:space="preserve">Retrying, Dead-letter</t>
  </si>
  <si>
    <t xml:space="preserve">Tabs Retrying / Dead-letter</t>
  </si>
  <si>
    <t xml:space="preserve">m01.ad10.retrying_dead_letter.tabs_retrying_dead.label</t>
  </si>
  <si>
    <t xml:space="preserve">Retrying = still inside retries (8 tries, 1 min → 2 h); Dead-letter = all retries used; empty: “No failed jobs.”</t>
  </si>
  <si>
    <t xml:space="preserve">Retrying</t>
  </si>
  <si>
    <t xml:space="preserve">Staff — Super Admin, Admin (on-call engineers with an Admin account); other roles: no access</t>
  </si>
  <si>
    <t xml:space="preserve">GET /v1/admin/jobs?status=retrying|dead</t>
  </si>
  <si>
    <t xml:space="preserve">jobs.status (dead; “retrying” is not a stored value: queued, running, done, dead, discarded)</t>
  </si>
  <si>
    <t xml:space="preserve">M01-FR-EVT-002, M01-FR-EVT-005</t>
  </si>
  <si>
    <t xml:space="preserve">M01-TC-052, M01-TC-187</t>
  </si>
  <si>
    <t xml:space="preserve">M01-6 §12.11; M01-5 §9.3; M01-3 §4, §5</t>
  </si>
  <si>
    <t xml:space="preserve">M01-AD-10-F02  ⚠ OI-56</t>
  </si>
  <si>
    <t xml:space="preserve">Filter job kind</t>
  </si>
  <si>
    <t xml:space="preserve">m01.ad10.retrying_dead_letter.filter_job_kind.label</t>
  </si>
  <si>
    <t xml:space="preserve">e.g. video.transcode, retention.run</t>
  </si>
  <si>
    <t xml:space="preserve">jobs.kind</t>
  </si>
  <si>
    <t xml:space="preserve">M01-FR-EVT-005</t>
  </si>
  <si>
    <t xml:space="preserve">M01-AD-10-F03</t>
  </si>
  <si>
    <t xml:space="preserve">Filter module</t>
  </si>
  <si>
    <t xml:space="preserve">m01.ad10.retrying_dead_letter.filter_module.label</t>
  </si>
  <si>
    <t xml:space="preserve">— (no column in jobs)</t>
  </si>
  <si>
    <t xml:space="preserve">M01-AD-10-F04</t>
  </si>
  <si>
    <t xml:space="preserve">m01.ad10.retrying_dead_letter.filter_date.label</t>
  </si>
  <si>
    <t xml:space="preserve">which date is not stated</t>
  </si>
  <si>
    <t xml:space="preserve">date (proposal)</t>
  </si>
  <si>
    <t xml:space="preserve">— (jobs.run_at or created_at; not stated)</t>
  </si>
  <si>
    <t xml:space="preserve">M01-AD-10-F05</t>
  </si>
  <si>
    <t xml:space="preserve">Count per kind at the top (e.g. “video.transcode: 14 dead”)</t>
  </si>
  <si>
    <t xml:space="preserve">m01.ad10.retrying_dead_letter.count_kind_top.text</t>
  </si>
  <si>
    <t xml:space="preserve">countsByKind</t>
  </si>
  <si>
    <t xml:space="preserve">— (derived: count of jobs by kind and status)</t>
  </si>
  <si>
    <t xml:space="preserve">M01-TC-187</t>
  </si>
  <si>
    <t xml:space="preserve">M01-AD-10-F06</t>
  </si>
  <si>
    <t xml:space="preserve">Job kind</t>
  </si>
  <si>
    <t xml:space="preserve">m01.ad10.retrying_dead_letter.job_kind.column</t>
  </si>
  <si>
    <t xml:space="preserve">M01-AD-10-F07  ⚠ OI-53</t>
  </si>
  <si>
    <t xml:space="preserve">m01.ad10.retrying_dead_letter.owner_module.column</t>
  </si>
  <si>
    <t xml:space="preserve">M01-AD-10-F08</t>
  </si>
  <si>
    <t xml:space="preserve">First failure time</t>
  </si>
  <si>
    <t xml:space="preserve">m01.ad10.retrying_dead_letter.first_failure_time.column</t>
  </si>
  <si>
    <t xml:space="preserve">firstFailedAt (proposal)</t>
  </si>
  <si>
    <t xml:space="preserve">M01-AD-10-F09</t>
  </si>
  <si>
    <t xml:space="preserve">Number of tries</t>
  </si>
  <si>
    <t xml:space="preserve">m01.ad10.retrying_dead_letter.number_tries.column</t>
  </si>
  <si>
    <t xml:space="preserve">up to 8 attempts</t>
  </si>
  <si>
    <t xml:space="preserve">attempts</t>
  </si>
  <si>
    <t xml:space="preserve">jobs.attempts</t>
  </si>
  <si>
    <t xml:space="preserve">M01-AD-10-F10  ⚠ OI-55</t>
  </si>
  <si>
    <t xml:space="preserve">Last error (short error code and request ID; personal data removed)</t>
  </si>
  <si>
    <t xml:space="preserve">m01.ad10.retrying_dead_letter.last_error.column</t>
  </si>
  <si>
    <t xml:space="preserve">short error code and request ID; personal data removed before saving (M01-3 §5)</t>
  </si>
  <si>
    <t xml:space="preserve">“Retrying doesn’t fix the cause. Check the last error first.”</t>
  </si>
  <si>
    <t xml:space="preserve">lastError</t>
  </si>
  <si>
    <t xml:space="preserve">jobs.last_error</t>
  </si>
  <si>
    <t xml:space="preserve">M01-AD-10-F11</t>
  </si>
  <si>
    <t xml:space="preserve">Target (e.g. file ID)</t>
  </si>
  <si>
    <t xml:space="preserve">m01.ad10.retrying_dead_letter.target.column</t>
  </si>
  <si>
    <t xml:space="preserve">“The target of this job no longer exists. Discard it instead.”</t>
  </si>
  <si>
    <t xml:space="preserve">target (proposal)</t>
  </si>
  <si>
    <t xml:space="preserve">— (derived: jobs.payload)</t>
  </si>
  <si>
    <t xml:space="preserve">M01-AD-10-F12</t>
  </si>
  <si>
    <t xml:space="preserve">Next try time (Retrying tab)</t>
  </si>
  <si>
    <t xml:space="preserve">m01.ad10.retrying.next_try_time.column</t>
  </si>
  <si>
    <t xml:space="preserve">runAt</t>
  </si>
  <si>
    <t xml:space="preserve">jobs.run_at</t>
  </si>
  <si>
    <t xml:space="preserve">M01-FR-EVT-002</t>
  </si>
  <si>
    <t xml:space="preserve">M01-TC-052</t>
  </si>
  <si>
    <t xml:space="preserve">M01-AD-10-F13</t>
  </si>
  <si>
    <t xml:space="preserve">Dead-letter</t>
  </si>
  <si>
    <t xml:space="preserve">Status “discarded” (the job stays in the list)</t>
  </si>
  <si>
    <t xml:space="preserve">m01.ad10.dead_letter.status.column</t>
  </si>
  <si>
    <t xml:space="preserve">queued, running, done, dead, discarded</t>
  </si>
  <si>
    <t xml:space="preserve">jobs.status</t>
  </si>
  <si>
    <t xml:space="preserve">M01-AD-10-F14  ⚠ OI-54</t>
  </si>
  <si>
    <t xml:space="preserve">Retry all of this kind</t>
  </si>
  <si>
    <t xml:space="preserve">Retry all of this kind — reason</t>
  </si>
  <si>
    <t xml:space="preserve">m01.ad10.dead_letter.retry_kind_reason.label</t>
  </si>
  <si>
    <t xml:space="preserve">up to 100 jobs at a time</t>
  </si>
  <si>
    <t xml:space="preserve">Staff — jobs.retry (Super Admin, Admin)</t>
  </si>
  <si>
    <t xml:space="preserve">“A reason is required.” · “You can retry up to 100 jobs at a time.” · partial: “Retry started for {n} of {m} jobs. {k} could not be retried …”</t>
  </si>
  <si>
    <t xml:space="preserve">POST /v1/admin/jobs/rerun</t>
  </si>
  <si>
    <t xml:space="preserve">— (no column in jobs; audit_log.reason)</t>
  </si>
  <si>
    <t xml:space="preserve">M01-AD-10-F15</t>
  </si>
  <si>
    <t xml:space="preserve">Discard a dead job</t>
  </si>
  <si>
    <t xml:space="preserve">Discard — reason</t>
  </si>
  <si>
    <t xml:space="preserve">m01.ad10.dead_letter.discard_reason.label</t>
  </si>
  <si>
    <t xml:space="preserve">dead jobs only; job stays listed as “discarded”</t>
  </si>
  <si>
    <t xml:space="preserve">Staff — jobs.discard (Super Admin, Admin)</t>
  </si>
  <si>
    <t xml:space="preserve">POST /v1/admin/jobs/{id}/discard</t>
  </si>
  <si>
    <t xml:space="preserve">— (no column in jobs; jobs.status → discarded; audit_log.reason)</t>
  </si>
  <si>
    <t xml:space="preserve">M01-AD-11-F01</t>
  </si>
  <si>
    <t xml:space="preserve">Data type (e.g. unattached uploads, closed accounts, chat after account closure, invoices, audit log, security logs, processing logs)</t>
  </si>
  <si>
    <t xml:space="preserve">m01.ad11.retention_policies.data_type.column</t>
  </si>
  <si>
    <t xml:space="preserve">every data type has a policy (added with the owning module)</t>
  </si>
  <si>
    <t xml:space="preserve">Staff — edit: Super Admin, Admin (a Super Admin who is not the editor approves); view: Moderator, Finance; other roles: no access</t>
  </si>
  <si>
    <t xml:space="preserve">dataType</t>
  </si>
  <si>
    <t xml:space="preserve">GET /v1/admin/retention-policies</t>
  </si>
  <si>
    <t xml:space="preserve">retention_policies.data_type</t>
  </si>
  <si>
    <t xml:space="preserve">M01-FR-RET-001, M01-FR-RET-005</t>
  </si>
  <si>
    <t xml:space="preserve">M01-TC-188</t>
  </si>
  <si>
    <t xml:space="preserve">M01-6 §12.12; M01-5 §10.1; M01-3 §4.2; M01-2 §10, §18</t>
  </si>
  <si>
    <t xml:space="preserve">M01-AD-11-F02</t>
  </si>
  <si>
    <t xml:space="preserve">Period</t>
  </si>
  <si>
    <t xml:space="preserve">m01.ad11.retention_policies.period.column</t>
  </si>
  <si>
    <t xml:space="preserve">days</t>
  </si>
  <si>
    <t xml:space="preserve">per data type (RET-001) [TBC: final with counsel]</t>
  </si>
  <si>
    <t xml:space="preserve">periodDays</t>
  </si>
  <si>
    <t xml:space="preserve">retention_policies.period_days</t>
  </si>
  <si>
    <t xml:space="preserve">M01-TC-114, M01-TC-188</t>
  </si>
  <si>
    <t xml:space="preserve">M01-AD-11-F03</t>
  </si>
  <si>
    <t xml:space="preserve">Action after the period (delete or anonymise)</t>
  </si>
  <si>
    <t xml:space="preserve">m01.ad11.retention_policies.action_after_period.column</t>
  </si>
  <si>
    <t xml:space="preserve">delete or anonymise</t>
  </si>
  <si>
    <t xml:space="preserve">retention_policies.action</t>
  </si>
  <si>
    <t xml:space="preserve">M01-FR-RET-005</t>
  </si>
  <si>
    <t xml:space="preserve">M01-AD-11-F04</t>
  </si>
  <si>
    <t xml:space="preserve">Legal minimum</t>
  </si>
  <si>
    <t xml:space="preserve">m01.ad11.retention_policies.legal_minimum.column</t>
  </si>
  <si>
    <t xml:space="preserve">days; period can never be lower (check)</t>
  </si>
  <si>
    <t xml:space="preserve">legalMinDays</t>
  </si>
  <si>
    <t xml:space="preserve">retention_policies.legal_min_days</t>
  </si>
  <si>
    <t xml:space="preserve">M01-AD-11-F05</t>
  </si>
  <si>
    <t xml:space="preserve">Legal basis (e.g. “CERT-In Directions 2022”, “GST law”)</t>
  </si>
  <si>
    <t xml:space="preserve">m01.ad11.retention_policies.legal_basis.column</t>
  </si>
  <si>
    <t xml:space="preserve">legalBasis</t>
  </si>
  <si>
    <t xml:space="preserve">retention_policies.legal_basis</t>
  </si>
  <si>
    <t xml:space="preserve">M01-AD-11-F06  ⚠ OI-57</t>
  </si>
  <si>
    <t xml:space="preserve">Last daily run result (items deleted or anonymised)</t>
  </si>
  <si>
    <t xml:space="preserve">m01.ad11.retention_policies.last_daily_run.column</t>
  </si>
  <si>
    <t xml:space="preserve">lastRun (proposal)</t>
  </si>
  <si>
    <t xml:space="preserve">retention_run_results.deleted / anonymised / skipped_on_hold (latest run_on for the data type)</t>
  </si>
  <si>
    <t xml:space="preserve">int / int / int</t>
  </si>
  <si>
    <t xml:space="preserve">M01-FR-RET-002, M01-FR-RET-005</t>
  </si>
  <si>
    <t xml:space="preserve">M01-AD-11-F07  ⚠ OI-59</t>
  </si>
  <si>
    <t xml:space="preserve">Number of active legal holds that cover this data type (link to §12.10)</t>
  </si>
  <si>
    <t xml:space="preserve">m01.ad11.retention_policies.number_active_legal.column</t>
  </si>
  <si>
    <t xml:space="preserve">“Data under a legal hold is never deleted, whatever the period.”</t>
  </si>
  <si>
    <t xml:space="preserve">activeHolds (proposal)</t>
  </si>
  <si>
    <t xml:space="preserve">— (derived: count of legal_holds; data type → scope_type mapping not defined)</t>
  </si>
  <si>
    <t xml:space="preserve">M01-AD-11-F08  ⚠ OI-58</t>
  </si>
  <si>
    <t xml:space="preserve">Chip “To be confirmed with counsel”</t>
  </si>
  <si>
    <t xml:space="preserve">m01.ad11.retention_policies.chip.text</t>
  </si>
  <si>
    <t xml:space="preserve">periods still to be confirmed with counsel</t>
  </si>
  <si>
    <t xml:space="preserve">toBeConfirmed (proposal)</t>
  </si>
  <si>
    <t xml:space="preserve">— (no column: TBC is only a document note on period_days)</t>
  </si>
  <si>
    <t xml:space="preserve">M01-FR-RET-001</t>
  </si>
  <si>
    <t xml:space="preserve">M01-AD-11-F09</t>
  </si>
  <si>
    <t xml:space="preserve">Edit</t>
  </si>
  <si>
    <t xml:space="preserve">Period (days)</t>
  </si>
  <si>
    <t xml:space="preserve">m01.ad11.retention_policies.period.label</t>
  </si>
  <si>
    <t xml:space="preserve">whole number of days; not below the legal minimum of the data type; high impact</t>
  </si>
  <si>
    <t xml:space="preserve">per data type [TBC]</t>
  </si>
  <si>
    <t xml:space="preserve">“Enter a whole number of days.” · “Period is shorter than the legal minimum.” (BELOW_LEGAL_MINIMUM 422) · “The legal minimum for this data type is {n} days. You can’t set a shorter period.”</t>
  </si>
  <si>
    <t xml:space="preserve">PATCH /v1/admin/retention-policies/{dataType} (draftId)</t>
  </si>
  <si>
    <t xml:space="preserve">retention_policies.period_days (setting retention.&lt;data_type&gt;.period_days)</t>
  </si>
  <si>
    <t xml:space="preserve">M01-AD-11-F10  ⚠ OI-60</t>
  </si>
  <si>
    <t xml:space="preserve">Action (delete or anonymise)</t>
  </si>
  <si>
    <t xml:space="preserve">m01.ad11.retention_policies.action.label</t>
  </si>
  <si>
    <t xml:space="preserve">M01-AD-11-F11</t>
  </si>
  <si>
    <t xml:space="preserve">Legal basis</t>
  </si>
  <si>
    <t xml:space="preserve">m01.ad11.retention_policies.legal_basis.label</t>
  </si>
  <si>
    <t xml:space="preserve">why the data is kept this long</t>
  </si>
  <si>
    <t xml:space="preserve">M01-AD-12-F01</t>
  </si>
  <si>
    <t xml:space="preserve">Units tab</t>
  </si>
  <si>
    <t xml:space="preserve">Units</t>
  </si>
  <si>
    <t xml:space="preserve">m01.ad12.units.name.column</t>
  </si>
  <si>
    <t xml:space="preserve">labelKey</t>
  </si>
  <si>
    <t xml:space="preserve">GET /v1/admin/units</t>
  </si>
  <si>
    <t xml:space="preserve">units.label_key (translation key)</t>
  </si>
  <si>
    <t xml:space="preserve">M01-FR-UNT-001</t>
  </si>
  <si>
    <t xml:space="preserve">M01-TC-190</t>
  </si>
  <si>
    <t xml:space="preserve">M01-6 §12.13; M01-5 §3.1, §3.2, §5.1; M01-3 §4.2; M01-2 §4, §18</t>
  </si>
  <si>
    <t xml:space="preserve">M01-AD-12-F02</t>
  </si>
  <si>
    <t xml:space="preserve">m01.ad12.units.code.label</t>
  </si>
  <si>
    <t xml:space="preserve">g, kg, quintal, tonne, tola_w, mithqal, seer, maund, ml, l, tola_oil, qtola_oil, piece, stick, packet, box, bottle, plant, tree, acre, hectare, sqm, bigha, katha, lessa</t>
  </si>
  <si>
    <t xml:space="preserve">units.code</t>
  </si>
  <si>
    <t xml:space="preserve">M01-AD-12-F03</t>
  </si>
  <si>
    <t xml:space="preserve">Type (weight, volume, count, area)</t>
  </si>
  <si>
    <t xml:space="preserve">m01.ad12.units.type.column</t>
  </si>
  <si>
    <t xml:space="preserve">weight, volume, count, area</t>
  </si>
  <si>
    <t xml:space="preserve">type</t>
  </si>
  <si>
    <t xml:space="preserve">units.type</t>
  </si>
  <si>
    <t xml:space="preserve">M01-AD-12-F04</t>
  </si>
  <si>
    <t xml:space="preserve">Standard unit</t>
  </si>
  <si>
    <t xml:space="preserve">m01.ad12.units.standard_unit.column</t>
  </si>
  <si>
    <t xml:space="preserve">g, ml, none, sqm</t>
  </si>
  <si>
    <t xml:space="preserve">baseUnit</t>
  </si>
  <si>
    <t xml:space="preserve">units.base_unit</t>
  </si>
  <si>
    <t xml:space="preserve">M01-AD-12-F05</t>
  </si>
  <si>
    <t xml:space="preserve">Factor (e.g. tola (wood) 11.66 g, oil tola 12 ml)</t>
  </si>
  <si>
    <t xml:space="preserve">m01.ad12.units.factor.column</t>
  </si>
  <si>
    <t xml:space="preserve">null for count and state-based area</t>
  </si>
  <si>
    <t xml:space="preserve">M01-2 §4 table</t>
  </si>
  <si>
    <t xml:space="preserve">factorToBase</t>
  </si>
  <si>
    <t xml:space="preserve">units.factor_to_base</t>
  </si>
  <si>
    <t xml:space="preserve">numeric(18,6)</t>
  </si>
  <si>
    <t xml:space="preserve">M01-FR-UNT-001, M01-FR-UNT-002</t>
  </si>
  <si>
    <t xml:space="preserve">M01-TC-023, M01-TC-190</t>
  </si>
  <si>
    <t xml:space="preserve">M01-AD-12-F06</t>
  </si>
  <si>
    <t xml:space="preserve">State-based (yes / no)</t>
  </si>
  <si>
    <t xml:space="preserve">m01.ad12.units.state_based.column</t>
  </si>
  <si>
    <t xml:space="preserve">true for bigha, katha, lessa</t>
  </si>
  <si>
    <t xml:space="preserve">isStateBased</t>
  </si>
  <si>
    <t xml:space="preserve">units.is_state_based</t>
  </si>
  <si>
    <t xml:space="preserve">M01-FR-UNT-003</t>
  </si>
  <si>
    <t xml:space="preserve">M01-AD-12-F07  ⚠ OI-61</t>
  </si>
  <si>
    <t xml:space="preserve">Helper only (yes / no)</t>
  </si>
  <si>
    <t xml:space="preserve">m01.ad12.units.helper_only.column</t>
  </si>
  <si>
    <t xml:space="preserve">isHelperOnly (proposal)</t>
  </si>
  <si>
    <t xml:space="preserve">units.is_helper_only</t>
  </si>
  <si>
    <t xml:space="preserve">M01-AD-12-F08</t>
  </si>
  <si>
    <t xml:space="preserve">Number of live listings that use it</t>
  </si>
  <si>
    <t xml:space="preserve">m01.ad12.units.number_live_listings.column</t>
  </si>
  <si>
    <t xml:space="preserve">liveListingCount</t>
  </si>
  <si>
    <t xml:space="preserve">— (derived: count of M05 listings.unit_code)</t>
  </si>
  <si>
    <t xml:space="preserve">M01-AD-12-F09</t>
  </si>
  <si>
    <t xml:space="preserve">m01.ad12.units.active_retired.column</t>
  </si>
  <si>
    <t xml:space="preserve">retire, never delete; a unit used by live listings cannot be retired</t>
  </si>
  <si>
    <t xml:space="preserve">“This unit is used by {n} live listings and can’t be retired.”</t>
  </si>
  <si>
    <t xml:space="preserve">POST /v1/admin/units/{code}/retire</t>
  </si>
  <si>
    <t xml:space="preserve">units.active</t>
  </si>
  <si>
    <t xml:space="preserve">M01-AD-12-F10</t>
  </si>
  <si>
    <t xml:space="preserve">Units tab — Edit factor</t>
  </si>
  <si>
    <t xml:space="preserve">Factor</t>
  </si>
  <si>
    <t xml:space="preserve">m01.ad12.units.factor.label</t>
  </si>
  <si>
    <t xml:space="preserve">above 0; other change (any other Admin approves)</t>
  </si>
  <si>
    <t xml:space="preserve">“Enter a factor above 0.”</t>
  </si>
  <si>
    <t xml:space="preserve">PATCH /v1/admin/units/{code} (draftId)</t>
  </si>
  <si>
    <t xml:space="preserve">units.factor_to_base (setting units.&lt;code&gt;.factor)</t>
  </si>
  <si>
    <t xml:space="preserve">M01-TC-023, M01-TC-098, M01-TC-190</t>
  </si>
  <si>
    <t xml:space="preserve">M01-AD-12-F11  ⚠ OI-64</t>
  </si>
  <si>
    <t xml:space="preserve">Units tab — Add unit</t>
  </si>
  <si>
    <t xml:space="preserve">Add unit — Name</t>
  </si>
  <si>
    <t xml:space="preserve">m01.ad12.units.add_unit_name.label</t>
  </si>
  <si>
    <t xml:space="preserve">translated unit name</t>
  </si>
  <si>
    <t xml:space="preserve">POST /v1/admin/units (draftId)</t>
  </si>
  <si>
    <t xml:space="preserve">units.label_key (translations)</t>
  </si>
  <si>
    <t xml:space="preserve">M01-TC-226</t>
  </si>
  <si>
    <t xml:space="preserve">M01-AD-12-F12</t>
  </si>
  <si>
    <t xml:space="preserve">Helper units tab</t>
  </si>
  <si>
    <t xml:space="preserve">Helper units</t>
  </si>
  <si>
    <t xml:space="preserve">Viewer country</t>
  </si>
  <si>
    <t xml:space="preserve">m01.ad12.helper_units.viewer_country.column</t>
  </si>
  <si>
    <t xml:space="preserve">countryCode</t>
  </si>
  <si>
    <t xml:space="preserve">— (no endpoint listed in M01-3 §4.2)</t>
  </si>
  <si>
    <t xml:space="preserve">M01-FR-UNT-008</t>
  </si>
  <si>
    <t xml:space="preserve">M01-TC-071</t>
  </si>
  <si>
    <t xml:space="preserve">M01-AD-12-F13  ⚠ OI-62, OI-63</t>
  </si>
  <si>
    <t xml:space="preserve">Helper units shown for that country (e.g. tola and mithqal for the Gulf)</t>
  </si>
  <si>
    <t xml:space="preserve">m01.ad12.helper_units.shown_that_country.label</t>
  </si>
  <si>
    <t xml:space="preserve">active units only</t>
  </si>
  <si>
    <t xml:space="preserve">e.g. tola for India and the Gulf; mithqal for the Gulf</t>
  </si>
  <si>
    <t xml:space="preserve">helperUnits</t>
  </si>
  <si>
    <t xml:space="preserve">GET /v1/admin/units/helper · PATCH /v1/admin/units/helper/{country}</t>
  </si>
  <si>
    <t xml:space="preserve">countries.helper_units (per viewer country)</t>
  </si>
  <si>
    <t xml:space="preserve">M01-AD-12-F14</t>
  </si>
  <si>
    <t xml:space="preserve">State land units tab</t>
  </si>
  <si>
    <t xml:space="preserve">State land units</t>
  </si>
  <si>
    <t xml:space="preserve">State</t>
  </si>
  <si>
    <t xml:space="preserve">m01.ad12.state_land_units.state.column</t>
  </si>
  <si>
    <t xml:space="preserve">ISO 3166-2, e.g. IN-AS</t>
  </si>
  <si>
    <t xml:space="preserve">GET /v1/admin/units/land</t>
  </si>
  <si>
    <t xml:space="preserve">area_unit_factors.region_code</t>
  </si>
  <si>
    <t xml:space="preserve">M01-FR-UNT-009</t>
  </si>
  <si>
    <t xml:space="preserve">M01-TC-189</t>
  </si>
  <si>
    <t xml:space="preserve">M01-AD-12-F15</t>
  </si>
  <si>
    <t xml:space="preserve">Unit (bigha, katha, lessa)</t>
  </si>
  <si>
    <t xml:space="preserve">m01.ad12.state_land_units.unit.column</t>
  </si>
  <si>
    <t xml:space="preserve">bigha, katha, lessa</t>
  </si>
  <si>
    <t xml:space="preserve">area_unit_factors.unit_code</t>
  </si>
  <si>
    <t xml:space="preserve">M01-AD-12-F16</t>
  </si>
  <si>
    <t xml:space="preserve">Size in sq ft and m²</t>
  </si>
  <si>
    <t xml:space="preserve">m01.ad12.state_land_units.size_sq_ft.column</t>
  </si>
  <si>
    <t xml:space="preserve">stored in m²; sq ft derived</t>
  </si>
  <si>
    <t xml:space="preserve">Assam bigha 14,400 sq ft (1,337.8 m²), katha 2,880 sq ft, lessa 144 sq ft; West Bengal bigha 14,400 sq ft, katha 720 sq ft</t>
  </si>
  <si>
    <t xml:space="preserve">sqmPerUnit</t>
  </si>
  <si>
    <t xml:space="preserve">area_unit_factors.sqm_per_unit</t>
  </si>
  <si>
    <t xml:space="preserve">numeric(14,4)</t>
  </si>
  <si>
    <t xml:space="preserve">M01-AD-12-F17</t>
  </si>
  <si>
    <t xml:space="preserve">Source (the state land record that was checked, with date)</t>
  </si>
  <si>
    <t xml:space="preserve">m01.ad12.state_land_units.source.column</t>
  </si>
  <si>
    <t xml:space="preserve">name and date</t>
  </si>
  <si>
    <t xml:space="preserve">source</t>
  </si>
  <si>
    <t xml:space="preserve">area_unit_factors.source</t>
  </si>
  <si>
    <t xml:space="preserve">M01-AD-12-F18</t>
  </si>
  <si>
    <t xml:space="preserve">m01.ad12.state_land_units.active_retired.column</t>
  </si>
  <si>
    <t xml:space="preserve">POST /v1/admin/units/land/{unit}/{region}/retire</t>
  </si>
  <si>
    <t xml:space="preserve">area_unit_factors.active</t>
  </si>
  <si>
    <t xml:space="preserve">M01-AD-12-F19</t>
  </si>
  <si>
    <t xml:space="preserve">Add state factor</t>
  </si>
  <si>
    <t xml:space="preserve">m01.ad12.state_land_units.state.label</t>
  </si>
  <si>
    <t xml:space="preserve">states of the country (country_regions)</t>
  </si>
  <si>
    <t xml:space="preserve">POST /v1/admin/units/land (draftId)</t>
  </si>
  <si>
    <t xml:space="preserve">M01-AD-12-F20</t>
  </si>
  <si>
    <t xml:space="preserve">Unit</t>
  </si>
  <si>
    <t xml:space="preserve">m01.ad12.state_land_units.unit.label</t>
  </si>
  <si>
    <t xml:space="preserve">M01-AD-12-F21</t>
  </si>
  <si>
    <t xml:space="preserve">Size</t>
  </si>
  <si>
    <t xml:space="preserve">m01.ad12.state_land_units.size.label</t>
  </si>
  <si>
    <t xml:space="preserve">above 0 (m²; sq ft shown)</t>
  </si>
  <si>
    <t xml:space="preserve">area_unit_factors.sqm_per_unit (setting area_unit_factors.&lt;unit&gt;.&lt;state&gt;)</t>
  </si>
  <si>
    <t xml:space="preserve">M01-AD-12-F22</t>
  </si>
  <si>
    <t xml:space="preserve">m01.ad12.state_land_units.source.label</t>
  </si>
  <si>
    <t xml:space="preserve">state land record checked (name and date)</t>
  </si>
  <si>
    <t xml:space="preserve">“A source is required for a state factor.”</t>
  </si>
  <si>
    <t xml:space="preserve">M01-AD-13-F01</t>
  </si>
  <si>
    <t xml:space="preserve">Reason box</t>
  </si>
  <si>
    <t xml:space="preserve">“Why do you need the location?” — reason list</t>
  </si>
  <si>
    <t xml:space="preserve">m01.ad13.why_do_you.label</t>
  </si>
  <si>
    <t xml:space="preserve">Origin check for a listing · Origin check for a document · Farm or plantation check · Legal order</t>
  </si>
  <si>
    <t xml:space="preserve">Private — staff with photo_location.view only (Moderator, Senior Moderator)</t>
  </si>
  <si>
    <t xml:space="preserve">“Choose a reason and add a note.” · “You don’t have access to photo locations.” (403)</t>
  </si>
  <si>
    <t xml:space="preserve">audit_log.reason (record file.location_view)</t>
  </si>
  <si>
    <t xml:space="preserve">M01-FR-FIL-027</t>
  </si>
  <si>
    <t xml:space="preserve">M01-TC-191</t>
  </si>
  <si>
    <t xml:space="preserve">M01-6 §12.14; M01-5 §2.1, §7.1; M01-3 §3, §4; M01-2 FIL-022, FIL-027</t>
  </si>
  <si>
    <t xml:space="preserve">M01-AD-13-F02</t>
  </si>
  <si>
    <t xml:space="preserve">Note (e.g. the listing or case number)</t>
  </si>
  <si>
    <t xml:space="preserve">m01.ad13.note.label</t>
  </si>
  <si>
    <t xml:space="preserve">“Choose a reason and add a note.”</t>
  </si>
  <si>
    <t xml:space="preserve">note</t>
  </si>
  <si>
    <t xml:space="preserve">audit_log.reason (with the note)</t>
  </si>
  <si>
    <t xml:space="preserve">M01-AD-13-F03</t>
  </si>
  <si>
    <t xml:space="preserve">Location</t>
  </si>
  <si>
    <t xml:space="preserve">Coordinates (e.g. “26.35° N, 92.68° E”)</t>
  </si>
  <si>
    <t xml:space="preserve">m01.ad13.coordinates.text</t>
  </si>
  <si>
    <t xml:space="preserve">from the private original; no map; no copy, download or export; “This view is recorded with your reason.”</t>
  </si>
  <si>
    <t xml:space="preserve">“This photo has no stored location.” · “No location stored for this photo.”</t>
  </si>
  <si>
    <t xml:space="preserve">latitude · longitude</t>
  </si>
  <si>
    <t xml:space="preserve">files.location_private (decrypted on the server)</t>
  </si>
  <si>
    <t xml:space="preserve">bytea (encrypted)</t>
  </si>
  <si>
    <t xml:space="preserve">M01-FR-FIL-022, M01-FR-FIL-027</t>
  </si>
  <si>
    <t xml:space="preserve">M01-TC-083, M01-TC-191, M01-TC-195</t>
  </si>
  <si>
    <t xml:space="preserve">M01-AD-13-F04</t>
  </si>
  <si>
    <t xml:space="preserve">Distance to the declared place (e.g. “about 3 km from the declared plantation district”)</t>
  </si>
  <si>
    <t xml:space="preserve">m01.ad13.distance_declared_place.text</t>
  </si>
  <si>
    <t xml:space="preserve">worked out on the server</t>
  </si>
  <si>
    <t xml:space="preserve">“No declared place to compare with — coordinates only.”</t>
  </si>
  <si>
    <t xml:space="preserve">distanceKm</t>
  </si>
  <si>
    <t xml:space="preserve">— (derived on the server from files.location_private and the declared place)</t>
  </si>
  <si>
    <t xml:space="preserve">M01-AD-13-F05</t>
  </si>
  <si>
    <t xml:space="preserve">Declared place (address or district on the listing or profile, e.g. “Nagaon, Assam”)</t>
  </si>
  <si>
    <t xml:space="preserve">m01.ad13.declared_place.text</t>
  </si>
  <si>
    <t xml:space="preserve">declaredPlace</t>
  </si>
  <si>
    <t xml:space="preserve">— (from the M03 / M05 record; district names from country_districts.name_key)</t>
  </si>
  <si>
    <t xml:space="preserve">M01-AD-14-F01</t>
  </si>
  <si>
    <t xml:space="preserve">Groups</t>
  </si>
  <si>
    <t xml:space="preserve">m01.ad14.simple_lists.name.column</t>
  </si>
  <si>
    <t xml:space="preserve">GET /v1/admin/simple-lists</t>
  </si>
  <si>
    <t xml:space="preserve">tag_groups.name_key (translation key, e.g. lists.site_type)</t>
  </si>
  <si>
    <t xml:space="preserve">M01-FR-CFG-011</t>
  </si>
  <si>
    <t xml:space="preserve">M01-TC-205</t>
  </si>
  <si>
    <t xml:space="preserve">M01-6 §12.15; M01-5 §8.5, §8.6; M01-3 §4.2; M01-2 CFG-011, §18</t>
  </si>
  <si>
    <t xml:space="preserve">M01-AD-14-F02</t>
  </si>
  <si>
    <t xml:space="preserve">Key (e.g. site_type)</t>
  </si>
  <si>
    <t xml:space="preserve">m01.ad14.simple_lists.key.label</t>
  </si>
  <si>
    <t xml:space="preserve">site_type, link_platform, capacity_unit, service_technique; a–z and underscore</t>
  </si>
  <si>
    <t xml:space="preserve">groupKey</t>
  </si>
  <si>
    <t xml:space="preserve">tag_groups.group_key</t>
  </si>
  <si>
    <t xml:space="preserve">M01-AD-14-F03</t>
  </si>
  <si>
    <t xml:space="preserve">Used by (e.g. M03 business sites)</t>
  </si>
  <si>
    <t xml:space="preserve">m01.ad14.simple_lists.used_by.column</t>
  </si>
  <si>
    <t xml:space="preserve">ownerModule</t>
  </si>
  <si>
    <t xml:space="preserve">tag_groups.owner_module</t>
  </si>
  <si>
    <t xml:space="preserve">M01-AD-14-F04</t>
  </si>
  <si>
    <t xml:space="preserve">Number of active and retired items</t>
  </si>
  <si>
    <t xml:space="preserve">m01.ad14.simple_lists.number_active_retired.column</t>
  </si>
  <si>
    <t xml:space="preserve">activeCount · retiredCount</t>
  </si>
  <si>
    <t xml:space="preserve">— (derived: count of tags by status)</t>
  </si>
  <si>
    <t xml:space="preserve">M01-AD-14-F05</t>
  </si>
  <si>
    <t xml:space="preserve">“Items can have a parent” (yes / no)</t>
  </si>
  <si>
    <t xml:space="preserve">m01.ad14.simple_lists.items_can_have.column</t>
  </si>
  <si>
    <t xml:space="preserve">true at launch only for service_technique</t>
  </si>
  <si>
    <t xml:space="preserve">allowsParent</t>
  </si>
  <si>
    <t xml:space="preserve">tag_groups.allows_parent</t>
  </si>
  <si>
    <t xml:space="preserve">M01-TC-207</t>
  </si>
  <si>
    <t xml:space="preserve">M01-AD-14-F06  ⚠ OI-66</t>
  </si>
  <si>
    <t xml:space="preserve">Rename group</t>
  </si>
  <si>
    <t xml:space="preserve">m01.ad14.simple_lists.rename_group.label</t>
  </si>
  <si>
    <t xml:space="preserve">changes the name only; groups cannot be added or removed here</t>
  </si>
  <si>
    <t xml:space="preserve">PATCH /v1/admin/simple-lists/{groupKey} (draftId)</t>
  </si>
  <si>
    <t xml:space="preserve">tag_groups.name_key (name text in the translation store)</t>
  </si>
  <si>
    <t xml:space="preserve">M01-AD-14-F07  ⚠ OI-67</t>
  </si>
  <si>
    <t xml:space="preserve">Items</t>
  </si>
  <si>
    <t xml:space="preserve">Filter active, retired, all</t>
  </si>
  <si>
    <t xml:space="preserve">m01.ad14.simple_lists.filter_active_retired.label</t>
  </si>
  <si>
    <t xml:space="preserve">active, retired, all</t>
  </si>
  <si>
    <t xml:space="preserve">GET /v1/admin/simple-lists/{groupKey}</t>
  </si>
  <si>
    <t xml:space="preserve">tags.status</t>
  </si>
  <si>
    <t xml:space="preserve">M01-AD-14-F08</t>
  </si>
  <si>
    <t xml:space="preserve">Search by name or key</t>
  </si>
  <si>
    <t xml:space="preserve">m01.ad14.simple_lists.search_by_name.label</t>
  </si>
  <si>
    <t xml:space="preserve">name or key</t>
  </si>
  <si>
    <t xml:space="preserve">tags.name_key / tag_key</t>
  </si>
  <si>
    <t xml:space="preserve">M01-AD-14-F09</t>
  </si>
  <si>
    <t xml:space="preserve">Name (in the staff member’s language, with a link to the other languages)</t>
  </si>
  <si>
    <t xml:space="preserve">m01.ad14.simple_lists.items.name.column</t>
  </si>
  <si>
    <t xml:space="preserve">up to 60 characters in each language</t>
  </si>
  <si>
    <t xml:space="preserve">tags.name_key (translation key)</t>
  </si>
  <si>
    <t xml:space="preserve">M01-AD-14-F10</t>
  </si>
  <si>
    <t xml:space="preserve">Key</t>
  </si>
  <si>
    <t xml:space="preserve">m01.ad14.simple_lists.items.key.label</t>
  </si>
  <si>
    <t xml:space="preserve">a–z, 0–9 and underscore; never changed or reused</t>
  </si>
  <si>
    <t xml:space="preserve">tagKey</t>
  </si>
  <si>
    <t xml:space="preserve">tags.tag_key</t>
  </si>
  <si>
    <t xml:space="preserve">M01-TC-205, M01-TC-206</t>
  </si>
  <si>
    <t xml:space="preserve">M01-AD-14-F11</t>
  </si>
  <si>
    <t xml:space="preserve">Parent (child items shown indented)</t>
  </si>
  <si>
    <t xml:space="preserve">m01.ad14.simple_lists.parent.column</t>
  </si>
  <si>
    <t xml:space="preserve">only when the group allows parents; one level</t>
  </si>
  <si>
    <t xml:space="preserve">parentTagKey</t>
  </si>
  <si>
    <t xml:space="preserve">tags.parent_tag_key</t>
  </si>
  <si>
    <t xml:space="preserve">text, null</t>
  </si>
  <si>
    <t xml:space="preserve">M01-AD-14-F12</t>
  </si>
  <si>
    <t xml:space="preserve">Order (move up / down; drag on a mouse)</t>
  </si>
  <si>
    <t xml:space="preserve">m01.ad14.simple_lists.order.text</t>
  </si>
  <si>
    <t xml:space="preserve">UNIQUE (group_key, parent_tag_key, display_order)</t>
  </si>
  <si>
    <t xml:space="preserve">displayOrder</t>
  </si>
  <si>
    <t xml:space="preserve">POST /v1/admin/simple-lists/{groupKey}/items/reorder</t>
  </si>
  <si>
    <t xml:space="preserve">tags.display_order</t>
  </si>
  <si>
    <t xml:space="preserve">M01-AD-14-F13</t>
  </si>
  <si>
    <t xml:space="preserve">Number of records that use it (where the owning module reports it)</t>
  </si>
  <si>
    <t xml:space="preserve">m01.ad14.simple_lists.number_records_that.column</t>
  </si>
  <si>
    <t xml:space="preserve">usageCount</t>
  </si>
  <si>
    <t xml:space="preserve">— (derived: reported by the owning module)</t>
  </si>
  <si>
    <t xml:space="preserve">M01-TC-206</t>
  </si>
  <si>
    <t xml:space="preserve">M01-AD-14-F14</t>
  </si>
  <si>
    <t xml:space="preserve">m01.ad14.simple_lists.active_retired.column</t>
  </si>
  <si>
    <t xml:space="preserve">active, retired</t>
  </si>
  <si>
    <t xml:space="preserve">“Retired items are no longer offered, but records that use them keep them.”</t>
  </si>
  <si>
    <t xml:space="preserve">M01-AD-14-F15</t>
  </si>
  <si>
    <t xml:space="preserve">Add item</t>
  </si>
  <si>
    <t xml:space="preserve">m01.ad14.simple_lists.name.label</t>
  </si>
  <si>
    <t xml:space="preserve">up to 60 characters</t>
  </si>
  <si>
    <t xml:space="preserve">POST /v1/admin/simple-lists/{groupKey}/items (draftId) · PATCH …/items/{tagKey} (rename)</t>
  </si>
  <si>
    <t xml:space="preserve">tags.name_key (name text in the translation store)</t>
  </si>
  <si>
    <t xml:space="preserve">M01-AD-14-F16</t>
  </si>
  <si>
    <t xml:space="preserve">Key (suggested from the English name)</t>
  </si>
  <si>
    <t xml:space="preserve">m01.ad14.simple_lists.add_item.key.label</t>
  </si>
  <si>
    <t xml:space="preserve">a–z, 0–9, underscore; editable before the first publish, never after</t>
  </si>
  <si>
    <t xml:space="preserve">suggested from the English name</t>
  </si>
  <si>
    <t xml:space="preserve">“An item with this key already exists in this list.” (KEY_TAKEN 409) · “The key can’t be changed after the item is published. Records store the key, not the name.”</t>
  </si>
  <si>
    <t xml:space="preserve">POST /v1/admin/simple-lists/{groupKey}/items (draftId)</t>
  </si>
  <si>
    <t xml:space="preserve">M01-AD-14-F17</t>
  </si>
  <si>
    <t xml:space="preserve">Parent (Set parent)</t>
  </si>
  <si>
    <t xml:space="preserve">m01.ad14.simple_lists.parent.label</t>
  </si>
  <si>
    <t xml:space="preserve">only in a group that allows parents; one level</t>
  </si>
  <si>
    <t xml:space="preserve">“Items in this list can’t have a parent.” (PARENT_NOT_ALLOWED 422) · “A parent can’t itself have a parent.”</t>
  </si>
  <si>
    <t xml:space="preserve">PATCH /v1/admin/simple-lists/{groupKey}/items/{tagKey} (draftId)</t>
  </si>
  <si>
    <t xml:space="preserve">M01-AD-14-F18  ⚠ OI-65</t>
  </si>
  <si>
    <t xml:space="preserve">m01.ad14.simple_lists.retire_reason.label</t>
  </si>
  <si>
    <t xml:space="preserve">never delete; a parent with active items cannot be retired</t>
  </si>
  <si>
    <t xml:space="preserve">“This item has {n} active items under it. Retire or move them first.” (ITEM_HAS_CHILDREN 422)</t>
  </si>
  <si>
    <t xml:space="preserve">POST /v1/admin/simple-lists/{groupKey}/items/{tagKey}/retire</t>
  </si>
  <si>
    <t xml:space="preserve">— (no column in tags; tags.status → retired; reason only in config_versions / audit_log)</t>
  </si>
  <si>
    <t xml:space="preserve">M01-TC-206, M01-TC-207</t>
  </si>
  <si>
    <t xml:space="preserve">M01-AD-15-F01</t>
  </si>
  <si>
    <t xml:space="preserve">m01.ad15.key.column</t>
  </si>
  <si>
    <t xml:space="preserve">Visitor IP or device, account ID or API key, e.g. ip:203.0.113.5</t>
  </si>
  <si>
    <t xml:space="preserve">Super Admin, Admin (blocks.view); other roles: no access</t>
  </si>
  <si>
    <t xml:space="preserve">GET /v1/admin/rate-limit-blocks</t>
  </si>
  <si>
    <t xml:space="preserve">rate_limit_blocks.key</t>
  </si>
  <si>
    <t xml:space="preserve">M01-TC-236</t>
  </si>
  <si>
    <t xml:space="preserve">M01-6 §12.16; M01-5 §8.4</t>
  </si>
  <si>
    <t xml:space="preserve">M01-AD-15-F02</t>
  </si>
  <si>
    <t xml:space="preserve">Kind (Automatic or Permanent) and policy</t>
  </si>
  <si>
    <t xml:space="preserve">m01.ad15.kind.column</t>
  </si>
  <si>
    <t xml:space="preserve">Automatic: set by the rate limiter, with the policy (module / action group); Permanent: set by staff</t>
  </si>
  <si>
    <t xml:space="preserve">Super Admin, Admin</t>
  </si>
  <si>
    <t xml:space="preserve">kind (proposal) / module / actionGroup</t>
  </si>
  <si>
    <t xml:space="preserve">— (derived: rate_limit_blocks.until null = Permanent) · rate_limit_blocks.module / action_group</t>
  </si>
  <si>
    <t xml:space="preserve">— / text / text</t>
  </si>
  <si>
    <t xml:space="preserve">M01-TC-237</t>
  </si>
  <si>
    <t xml:space="preserve">M01-AD-15-F03</t>
  </si>
  <si>
    <t xml:space="preserve">Until</t>
  </si>
  <si>
    <t xml:space="preserve">m01.ad15.until.column</t>
  </si>
  <si>
    <t xml:space="preserve">A time, or “Permanent”</t>
  </si>
  <si>
    <t xml:space="preserve">until</t>
  </si>
  <si>
    <t xml:space="preserve">rate_limit_blocks.until</t>
  </si>
  <si>
    <t xml:space="preserve">M01-AD-15-F04</t>
  </si>
  <si>
    <t xml:space="preserve">Reason, set by and set at</t>
  </si>
  <si>
    <t xml:space="preserve">m01.ad15.reason_set_by.column</t>
  </si>
  <si>
    <t xml:space="preserve">Set by: System or the staff member</t>
  </si>
  <si>
    <t xml:space="preserve">reason / setBy / createdAt</t>
  </si>
  <si>
    <t xml:space="preserve">rate_limit_blocks.reason / set_by / created_at</t>
  </si>
  <si>
    <t xml:space="preserve">text / uuid / timestamptz</t>
  </si>
  <si>
    <t xml:space="preserve">M01-AD-15-F05</t>
  </si>
  <si>
    <t xml:space="preserve">View account (account keys)</t>
  </si>
  <si>
    <t xml:space="preserve">m01.ad15.view_account.link</t>
  </si>
  <si>
    <t xml:space="preserve">Link</t>
  </si>
  <si>
    <t xml:space="preserve">Opens account lookup (M02-AD-01), which checks its own permission and records the look-up</t>
  </si>
  <si>
    <t xml:space="preserve">— (link to M02-AD-01)</t>
  </si>
  <si>
    <t xml:space="preserve">M01-AD-15-F06</t>
  </si>
  <si>
    <t xml:space="preserve">Filters: key type, kind, module; search by key</t>
  </si>
  <si>
    <t xml:space="preserve">m01.ad15.filters.label</t>
  </si>
  <si>
    <t xml:space="preserve">All</t>
  </si>
  <si>
    <t xml:space="preserve">“No blocks right now.” (empty)</t>
  </si>
  <si>
    <t xml:space="preserve">keyType / kind / module / q (proposal)</t>
  </si>
  <si>
    <t xml:space="preserve">rate_limit_blocks.key / module</t>
  </si>
  <si>
    <t xml:space="preserve">M01-AD-15-F07</t>
  </si>
  <si>
    <t xml:space="preserve">Block a key</t>
  </si>
  <si>
    <t xml:space="preserve">Block a key — key type and key</t>
  </si>
  <si>
    <t xml:space="preserve">m01.ad15.block_key_key_type.label</t>
  </si>
  <si>
    <t xml:space="preserve">Dropdown + text</t>
  </si>
  <si>
    <t xml:space="preserve">Key type: visitor IP or device, account, API key; key in the format of its type</t>
  </si>
  <si>
    <t xml:space="preserve">Super Admin, Admin (blocks.manage)</t>
  </si>
  <si>
    <t xml:space="preserve">“Enter a valid {key type}.” · “This key is already blocked.” (KEY_ALREADY_BLOCKED)</t>
  </si>
  <si>
    <t xml:space="preserve">keyType / key</t>
  </si>
  <si>
    <t xml:space="preserve">POST /v1/admin/rate-limit-blocks</t>
  </si>
  <si>
    <t xml:space="preserve">M01-6 §12.16; M01-3 §4</t>
  </si>
  <si>
    <t xml:space="preserve">M01-AD-15-F08</t>
  </si>
  <si>
    <t xml:space="preserve">Block a key — reason</t>
  </si>
  <si>
    <t xml:space="preserve">m01.ad15.block_key_reason.label</t>
  </si>
  <si>
    <t xml:space="preserve">Free text; a staff block is permanent and covers every action</t>
  </si>
  <si>
    <t xml:space="preserve">rate_limit_blocks.reason (and the audit record)</t>
  </si>
  <si>
    <t xml:space="preserve">M01-AD-15-F09</t>
  </si>
  <si>
    <t xml:space="preserve">Lift</t>
  </si>
  <si>
    <t xml:space="preserve">Lift — reason</t>
  </si>
  <si>
    <t xml:space="preserve">m01.ad15.lift_reason.label</t>
  </si>
  <si>
    <t xml:space="preserve">Free text</t>
  </si>
  <si>
    <t xml:space="preserve">DELETE /v1/admin/rate-limit-blocks/{key}</t>
  </si>
  <si>
    <t xml:space="preserve">— (the row is removed; the reason is kept in the audit record)</t>
  </si>
  <si>
    <t xml:space="preserve">M01-S03-F05</t>
  </si>
  <si>
    <t xml:space="preserve">Slot side (e.g. “ID card — front”, “ID card — back”)</t>
  </si>
  <si>
    <t xml:space="preserve">m01.s03.slot_side_front.text</t>
  </si>
  <si>
    <t xml:space="preserve">Label (set by the form)</t>
  </si>
  <si>
    <t xml:space="preserve">When the document has sides</t>
  </si>
  <si>
    <t xml:space="preserve">front, back, selfie, page — chosen by the M03 / M06 form slot, not by the user</t>
  </si>
  <si>
    <t xml:space="preserve">side</t>
  </si>
  <si>
    <t xml:space="preserve">files.side</t>
  </si>
  <si>
    <t xml:space="preserve">M01-6 §5; M01-3 §3; M01-5 §2.1</t>
  </si>
  <si>
    <t xml:space="preserve">M01-S06-F07</t>
  </si>
  <si>
    <t xml:space="preserve">Filter by type (sign-ins, changes, document views, agent actions)</t>
  </si>
  <si>
    <t xml:space="preserve">m01.s06.filter_by_type.label</t>
  </si>
  <si>
    <t xml:space="preserve">Chips</t>
  </si>
  <si>
    <t xml:space="preserve">sign_in, change, document_view, agent_action</t>
  </si>
  <si>
    <t xml:space="preserve">audit_log.action (grouped by type)</t>
  </si>
  <si>
    <t xml:space="preserve">M01-TC-212</t>
  </si>
  <si>
    <t xml:space="preserve">M01-6 §9; M01-3 §4</t>
  </si>
  <si>
    <t xml:space="preserve">M01-S07-F07</t>
  </si>
  <si>
    <t xml:space="preserve">m01.s07.offline.offline_page.text</t>
  </si>
  <si>
    <t xml:space="preserve">“You’re offline. We’ll retry when you’re connected.”; reloads by itself when back online</t>
  </si>
  <si>
    <t xml:space="preserve">Anyone</t>
  </si>
  <si>
    <t xml:space="preserve">M01-FR-API-004</t>
  </si>
  <si>
    <t xml:space="preserve">M01-TC-214</t>
  </si>
  <si>
    <t xml:space="preserve">M01-6 §10; M01-4 §7</t>
  </si>
  <si>
    <t xml:space="preserve">M01-S07-F08</t>
  </si>
  <si>
    <t xml:space="preserve">Read-only banner</t>
  </si>
  <si>
    <t xml:space="preserve">Read-only banner — “OudhTrade is in read-only mode until {time}. You can look around, but changes are paused.”</t>
  </si>
  <si>
    <t xml:space="preserve">m01.s07.read_only_banner.text</t>
  </si>
  <si>
    <t xml:space="preserve">Without “until {time}” when no expected-back time is set; pressing a change button shows the same message</t>
  </si>
  <si>
    <t xml:space="preserve">Public (every page while read-only maintenance is on)</t>
  </si>
  <si>
    <t xml:space="preserve">READ_ONLY_MODE (503)</t>
  </si>
  <si>
    <t xml:space="preserve">mode / expectedBackAt</t>
  </si>
  <si>
    <t xml:space="preserve">/status/maintenance.json (CDN file)</t>
  </si>
  <si>
    <t xml:space="preserve">setting platform.maintenance_mode · setting maintenance.expected_back_at</t>
  </si>
  <si>
    <t xml:space="preserve">M01-FR-API-009, M01-FR-API-004</t>
  </si>
  <si>
    <t xml:space="preserve">M01-TC-232</t>
  </si>
  <si>
    <t xml:space="preserve">M01-6 §10; M01-3 §4, §8</t>
  </si>
  <si>
    <t xml:space="preserve">M01-S07-F09</t>
  </si>
  <si>
    <t xml:space="preserve">Planned-maintenance notice</t>
  </si>
  <si>
    <t xml:space="preserve">Planned-maintenance notice — “Planned maintenance on {date} at {time} ({duration}). OudhTrade will be closed during this time.” (read-only: “… will be read-only …”)</t>
  </si>
  <si>
    <t xml:space="preserve">m01.s07.planned_maintenance_notice.text</t>
  </si>
  <si>
    <t xml:space="preserve">Shown from maintenance.notice_hours before the start (48 hours by default); can be closed with ×; shows again on the next visit</t>
  </si>
  <si>
    <t xml:space="preserve">Public (every page)</t>
  </si>
  <si>
    <t xml:space="preserve">plannedStart / mode / expectedBackAt</t>
  </si>
  <si>
    <t xml:space="preserve">config_versions.scheduled_for (approved maintenance version) · setting maintenance.notice_hours</t>
  </si>
  <si>
    <t xml:space="preserve">timestamptz / int</t>
  </si>
  <si>
    <t xml:space="preserve">M01-FR-CFG-012, M01-FR-API-004</t>
  </si>
  <si>
    <t xml:space="preserve">M01-TC-231</t>
  </si>
  <si>
    <t xml:space="preserve">M01-S05-F05</t>
  </si>
  <si>
    <t xml:space="preserve">Choose panel</t>
  </si>
  <si>
    <t xml:space="preserve">Analytics and Marketing switches (each on its own) · Save choices</t>
  </si>
  <si>
    <t xml:space="preserve">m01.s05.analytics_marketing_switches.label</t>
  </si>
  <si>
    <t xml:space="preserve">Switch ×2 + button</t>
  </si>
  <si>
    <t xml:space="preserve">each group on or off; asked again after cookies.consent_months (default 12)</t>
  </si>
  <si>
    <t xml:space="preserve">analytics · marketing</t>
  </si>
  <si>
    <t xml:space="preserve">cookie_consents.has_analytics_consent / has_marketing_consent</t>
  </si>
  <si>
    <t xml:space="preserve">M01-FR-CKE-001, M01-FR-CKE-005</t>
  </si>
  <si>
    <t xml:space="preserve">M01-TC-210, M01-TC-211</t>
  </si>
  <si>
    <t xml:space="preserve">M01-6 §8; M01-5 §10.3</t>
  </si>
  <si>
    <t xml:space="preserve">M01-S10-F01</t>
  </si>
  <si>
    <t xml:space="preserve">Country code picker (flag and code)</t>
  </si>
  <si>
    <t xml:space="preserve">m01.s10.country_code_picker.label</t>
  </si>
  <si>
    <t xml:space="preserve">countries allowed for sign-up; default the viewer’s country</t>
  </si>
  <si>
    <t xml:space="preserve">Viewer’s country</t>
  </si>
  <si>
    <t xml:space="preserve">Anyone filling the form</t>
  </si>
  <si>
    <t xml:space="preserve">phoneCountry</t>
  </si>
  <si>
    <t xml:space="preserve">countries.code / phone_code (list); the using module stores the number</t>
  </si>
  <si>
    <t xml:space="preserve">M01-FR-LOC-009</t>
  </si>
  <si>
    <t xml:space="preserve">M01-6 §7; M01-4 §5</t>
  </si>
  <si>
    <t xml:space="preserve">M01-S10-F02</t>
  </si>
  <si>
    <t xml:space="preserve">Phone number</t>
  </si>
  <si>
    <t xml:space="preserve">m01.s10.phone_number.label</t>
  </si>
  <si>
    <t xml:space="preserve">Text (phone)</t>
  </si>
  <si>
    <t xml:space="preserve">Yes (where the form needs it)</t>
  </si>
  <si>
    <t xml:space="preserve">checked with a standard phone-number check for the chosen country; stored as +country code format; example shown in the country’s format</t>
  </si>
  <si>
    <t xml:space="preserve">“Enter a valid phone number for {country}.”</t>
  </si>
  <si>
    <t xml:space="preserve">phone (E.164)</t>
  </si>
  <si>
    <t xml:space="preserve">— (sent with the using module’s form, e.g. M02 sign-up)</t>
  </si>
  <si>
    <t xml:space="preserve">— (stored by the using module, e.g. M02 accounts)</t>
  </si>
  <si>
    <t xml:space="preserve">M01-S11-F01</t>
  </si>
  <si>
    <t xml:space="preserve">Address lines (fields and order from the country’s address layout)</t>
  </si>
  <si>
    <t xml:space="preserve">m01.s11.address_lines.label</t>
  </si>
  <si>
    <t xml:space="preserve">Text fields</t>
  </si>
  <si>
    <t xml:space="preserve">Per layout</t>
  </si>
  <si>
    <t xml:space="preserve">e.g. India: address lines, city, PIN code; UAE: building, street, area, Emirate, P.O. Box; names in any script</t>
  </si>
  <si>
    <t xml:space="preserve">address.*</t>
  </si>
  <si>
    <t xml:space="preserve">GET /v1/countries (layout)</t>
  </si>
  <si>
    <t xml:space="preserve">countries.address_layout (layout); the using module stores the address</t>
  </si>
  <si>
    <t xml:space="preserve">M01-FR-LOC-010</t>
  </si>
  <si>
    <t xml:space="preserve">M01-S11-F02</t>
  </si>
  <si>
    <t xml:space="preserve">m01.s11.state.label</t>
  </si>
  <si>
    <t xml:space="preserve">Where the country has states in the table</t>
  </si>
  <si>
    <t xml:space="preserve">active states of the country</t>
  </si>
  <si>
    <t xml:space="preserve">stateCode</t>
  </si>
  <si>
    <t xml:space="preserve">GET /v1/countries (regions)</t>
  </si>
  <si>
    <t xml:space="preserve">M01-6 §7; M01-5 §5.2</t>
  </si>
  <si>
    <t xml:space="preserve">M01-S11-F03</t>
  </si>
  <si>
    <t xml:space="preserve">District</t>
  </si>
  <si>
    <t xml:space="preserve">m01.s11.district.label</t>
  </si>
  <si>
    <t xml:space="preserve">India</t>
  </si>
  <si>
    <t xml:space="preserve">active districts of the chosen state (official LGD codes); retired districts hidden</t>
  </si>
  <si>
    <t xml:space="preserve">districtCode</t>
  </si>
  <si>
    <t xml:space="preserve">GET /v1/countries (districts)</t>
  </si>
  <si>
    <t xml:space="preserve">M01-6 §7; M01-5 §5.3</t>
  </si>
  <si>
    <t xml:space="preserve">M01-AD-03-F35</t>
  </si>
  <si>
    <t xml:space="preserve">Names (per language)</t>
  </si>
  <si>
    <t xml:space="preserve">m01.ad03.general.names.label</t>
  </si>
  <si>
    <t xml:space="preserve">translated country name; “other” change</t>
  </si>
  <si>
    <t xml:space="preserve">name_key</t>
  </si>
  <si>
    <t xml:space="preserve">countries.name_key (translations)</t>
  </si>
  <si>
    <t xml:space="preserve">M01-TC-217</t>
  </si>
  <si>
    <t xml:space="preserve">M01-6 §12.4; M01-5 §5.1</t>
  </si>
  <si>
    <t xml:space="preserve">M01-AD-03-F36</t>
  </si>
  <si>
    <t xml:space="preserve">m01.ad03.general.market_region.label</t>
  </si>
  <si>
    <t xml:space="preserve">south_asia, gulf, other_middle_east, south_east_asia, east_asia, europe, americas, africa, oceania; “other” change</t>
  </si>
  <si>
    <t xml:space="preserve">market_region</t>
  </si>
  <si>
    <t xml:space="preserve">M01-AD-03-F37</t>
  </si>
  <si>
    <t xml:space="preserve">m01.ad03.general.currency.label</t>
  </si>
  <si>
    <t xml:space="preserve">ISO currency code; “other” change</t>
  </si>
  <si>
    <t xml:space="preserve">M01-AD-03-F38</t>
  </si>
  <si>
    <t xml:space="preserve">m01.ad03.general.guide_currency.label</t>
  </si>
  <si>
    <t xml:space="preserve">one of “Guide currencies offered”; “other” change</t>
  </si>
  <si>
    <t xml:space="preserve">guide_currency</t>
  </si>
  <si>
    <t xml:space="preserve">M01-AD-03-F39</t>
  </si>
  <si>
    <t xml:space="preserve">m01.ad03.general.default_language.label</t>
  </si>
  <si>
    <t xml:space="preserve">language code; “other” change</t>
  </si>
  <si>
    <t xml:space="preserve">default_language</t>
  </si>
  <si>
    <t xml:space="preserve">M01-AD-03-F40</t>
  </si>
  <si>
    <t xml:space="preserve">Exchange rates tab</t>
  </si>
  <si>
    <t xml:space="preserve">Exchange rates</t>
  </si>
  <si>
    <t xml:space="preserve">m01.ad03.exchange_rates.currency.column</t>
  </si>
  <si>
    <t xml:space="preserve">The guide currencies (setting countries.guide_currencies)</t>
  </si>
  <si>
    <t xml:space="preserve">Staff with settings.view (view only)</t>
  </si>
  <si>
    <t xml:space="preserve">quote</t>
  </si>
  <si>
    <t xml:space="preserve">GET /v1/admin/fx-rates</t>
  </si>
  <si>
    <t xml:space="preserve">fx_rates.quote</t>
  </si>
  <si>
    <t xml:space="preserve">M01-TC-238</t>
  </si>
  <si>
    <t xml:space="preserve">M01-6 §12.4; M01-5 §5.4; M01-3 §4</t>
  </si>
  <si>
    <t xml:space="preserve">M01-AD-03-F41</t>
  </si>
  <si>
    <t xml:space="preserve">Rate (against the base currency)</t>
  </si>
  <si>
    <t xml:space="preserve">m01.ad03.exchange_rates.rate.column</t>
  </si>
  <si>
    <t xml:space="preserve">Rate with up to 8 decimals; base INR or USD as stored</t>
  </si>
  <si>
    <t xml:space="preserve">rate / base</t>
  </si>
  <si>
    <t xml:space="preserve">fx_rates.rate / base</t>
  </si>
  <si>
    <t xml:space="preserve">numeric(18,8) / char(3)</t>
  </si>
  <si>
    <t xml:space="preserve">M01-6 §12.4; M01-5 §5.4</t>
  </si>
  <si>
    <t xml:space="preserve">M01-AD-03-F42</t>
  </si>
  <si>
    <t xml:space="preserve">Rate date and source</t>
  </si>
  <si>
    <t xml:space="preserve">m01.ad03.exchange_rates.rate_date_source.column</t>
  </si>
  <si>
    <t xml:space="preserve">Date of the rate; provider name</t>
  </si>
  <si>
    <t xml:space="preserve">rateOn / source</t>
  </si>
  <si>
    <t xml:space="preserve">fx_rates.rate_on / source / fetched_at</t>
  </si>
  <si>
    <t xml:space="preserve">date / text / timestamptz</t>
  </si>
  <si>
    <t xml:space="preserve">M01-AD-03-F43</t>
  </si>
  <si>
    <t xml:space="preserve">State chip (Up to date · Old — last rates in use · Guide price hidden)</t>
  </si>
  <si>
    <t xml:space="preserve">m01.ad03.exchange_rates.state_chip_last_rates.column</t>
  </si>
  <si>
    <t xml:space="preserve">Old after 24 hours without new rates; hidden after fx.hide_after_hours (48 hours by default)</t>
  </si>
  <si>
    <t xml:space="preserve">state (proposal)</t>
  </si>
  <si>
    <t xml:space="preserve">— (derived: age of fx_rates.fetched_at and setting fx.hide_after_hours)</t>
  </si>
  <si>
    <t xml:space="preserve">M01-6 §12.4; M01-2 CTY-005</t>
  </si>
  <si>
    <t xml:space="preserve">M01-AD-01-F80</t>
  </si>
  <si>
    <t xml:space="preserve">Guide currencies offered (countries.guide_currencies)</t>
  </si>
  <si>
    <t xml:space="preserve">setting.countries.guide_currencies.name</t>
  </si>
  <si>
    <t xml:space="preserve">Checkbox list</t>
  </si>
  <si>
    <t xml:space="preserve">PATCH /v1/admin/settings/{key}</t>
  </si>
  <si>
    <t xml:space="preserve">config_entries (key countries.guide_currencies)</t>
  </si>
  <si>
    <t xml:space="preserve">M01-2 §18; M01-6 §12.2</t>
  </si>
  <si>
    <t xml:space="preserve">M01-AD-01-F81</t>
  </si>
  <si>
    <t xml:space="preserve">Removed (29 Sep 2026): Maintenance expected back — now set on Feature switches (M01-AD-02-F16)</t>
  </si>
  <si>
    <t xml:space="preserve">setting.maintenance.expected_back_at.name</t>
  </si>
  <si>
    <t xml:space="preserve">Date and time</t>
  </si>
  <si>
    <t xml:space="preserve">a future date and time, or empty; level Other</t>
  </si>
  <si>
    <t xml:space="preserve">Empty</t>
  </si>
  <si>
    <t xml:space="preserve">— (moved: setting maintenance.expected_back_at, see M01-AD-02-F16)</t>
  </si>
  <si>
    <t xml:space="preserve">M01-TC-213</t>
  </si>
  <si>
    <t xml:space="preserve">M01-2 §18; M01-6 §10</t>
  </si>
  <si>
    <t xml:space="preserve">M01-AD-01-F82</t>
  </si>
  <si>
    <t xml:space="preserve">Settings editor list</t>
  </si>
  <si>
    <t xml:space="preserve">Setting name (e.g. “Largest photo”)</t>
  </si>
  <si>
    <t xml:space="preserve">m01.ad01.settings_editor.setting_name.column</t>
  </si>
  <si>
    <t xml:space="preserve">register column Name</t>
  </si>
  <si>
    <t xml:space="preserve">— (settings register, column Name)</t>
  </si>
  <si>
    <t xml:space="preserve">M01-TC-216</t>
  </si>
  <si>
    <t xml:space="preserve">M01-6 §12.2; Cross-Module Registers, sheet Settings</t>
  </si>
  <si>
    <t xml:space="preserve">M01-AD-01-F83</t>
  </si>
  <si>
    <t xml:space="preserve">History tab — Who sent it and when</t>
  </si>
  <si>
    <t xml:space="preserve">common.history.history_tab_who_sent.column</t>
  </si>
  <si>
    <t xml:space="preserve">name and date and time</t>
  </si>
  <si>
    <t xml:space="preserve">(from GET …/versions)</t>
  </si>
  <si>
    <t xml:space="preserve">config_versions.submitted_by / submitted_at</t>
  </si>
  <si>
    <t xml:space="preserve">uuid / timestamptz</t>
  </si>
  <si>
    <t xml:space="preserve">M01-6 §12.1 step 7</t>
  </si>
  <si>
    <t xml:space="preserve">M01-AD-01-F84</t>
  </si>
  <si>
    <t xml:space="preserve">History tab — Who rejected it and when</t>
  </si>
  <si>
    <t xml:space="preserve">common.history.history_tab_who_rejected.column</t>
  </si>
  <si>
    <t xml:space="preserve">config_versions.rejected_by / rejected_at</t>
  </si>
  <si>
    <t xml:space="preserve">M01-AD-01-F85</t>
  </si>
  <si>
    <t xml:space="preserve">History tab — Who cancelled it and when</t>
  </si>
  <si>
    <t xml:space="preserve">common.history.history_tab_who_cancelled.column</t>
  </si>
  <si>
    <t xml:space="preserve">config_versions.cancelled_by / cancelled_at</t>
  </si>
  <si>
    <t xml:space="preserve">M01-AD-01-F86</t>
  </si>
  <si>
    <t xml:space="preserve">History tab — Who published it</t>
  </si>
  <si>
    <t xml:space="preserve">common.history.history_tab_who_published.column</t>
  </si>
  <si>
    <t xml:space="preserve">config_versions.published_by</t>
  </si>
  <si>
    <t xml:space="preserve">M01-AD-01-F87</t>
  </si>
  <si>
    <t xml:space="preserve">Emergency review (on M16-AD-01 Changes)</t>
  </si>
  <si>
    <t xml:space="preserve">Review an emergency change — Confirm (reason) or Open follow-up draft</t>
  </si>
  <si>
    <t xml:space="preserve">m01.ad01.review_emergency_change_confirm.label</t>
  </si>
  <si>
    <t xml:space="preserve">Buttons + text area</t>
  </si>
  <si>
    <t xml:space="preserve">Reason required to confirm</t>
  </si>
  <si>
    <t xml:space="preserve">second Super Admin, not the one who made the change, within 24 hours</t>
  </si>
  <si>
    <t xml:space="preserve">Staff — Super Admin (settings.approve_high)</t>
  </si>
  <si>
    <t xml:space="preserve">action · reason</t>
  </si>
  <si>
    <t xml:space="preserve">config_versions.reviewed_by / reviewed_at</t>
  </si>
  <si>
    <t xml:space="preserve">M01-6 §12.1</t>
  </si>
  <si>
    <t xml:space="preserve">M01-AD-02-F11</t>
  </si>
  <si>
    <t xml:space="preserve">m01.ad02.feature_switches.list.owner_module.column</t>
  </si>
  <si>
    <t xml:space="preserve">feature_flags.owner_module</t>
  </si>
  <si>
    <t xml:space="preserve">M01-6 §12.3; M01-5 §8.2</t>
  </si>
  <si>
    <t xml:space="preserve">M01-AD-02-F12</t>
  </si>
  <si>
    <t xml:space="preserve">Retire an unused switch — reason</t>
  </si>
  <si>
    <t xml:space="preserve">m01.ad02.feature_switches.retire_unused_switch_reason.label</t>
  </si>
  <si>
    <t xml:space="preserve">only switches no longer read by code; approved at the switch’s level</t>
  </si>
  <si>
    <t xml:space="preserve">Staff — Super Admin, Admin</t>
  </si>
  <si>
    <t xml:space="preserve">POST /v1/admin/switches/{name}/retire</t>
  </si>
  <si>
    <t xml:space="preserve">feature_flags.active (false); reason on the config version</t>
  </si>
  <si>
    <t xml:space="preserve">M01-AD-02-F13</t>
  </si>
  <si>
    <t xml:space="preserve">Maintenance panel</t>
  </si>
  <si>
    <t xml:space="preserve">Maintenance state (Off · Full · Read-only · Planned for {date time})</t>
  </si>
  <si>
    <t xml:space="preserve">m01.ad02.feature_switches.maintenance_state.text</t>
  </si>
  <si>
    <t xml:space="preserve">Off, Full, Read-only; Planned when an approved planned maintenance is scheduled</t>
  </si>
  <si>
    <t xml:space="preserve">Staff — everyone who can open the screen sees the state; buttons: Super Admin only (platform.maintenance)</t>
  </si>
  <si>
    <t xml:space="preserve">maintenanceMode</t>
  </si>
  <si>
    <t xml:space="preserve">setting platform.maintenance_mode (config_entries.value)</t>
  </si>
  <si>
    <t xml:space="preserve">M01-FR-CFG-012</t>
  </si>
  <si>
    <t xml:space="preserve">M01-TC-227, M01-TC-230</t>
  </si>
  <si>
    <t xml:space="preserve">M01-6 §12.3; M01-2 CFG-012; M01-3 §4, §8</t>
  </si>
  <si>
    <t xml:space="preserve">M01-AD-02-F14</t>
  </si>
  <si>
    <t xml:space="preserve">Started by, time and reason</t>
  </si>
  <si>
    <t xml:space="preserve">m01.ad02.feature_switches.started_by_time.text</t>
  </si>
  <si>
    <t xml:space="preserve">Name of the Super Admin, time, reason</t>
  </si>
  <si>
    <t xml:space="preserve">startedBy / startedAt / reason (proposal)</t>
  </si>
  <si>
    <t xml:space="preserve">config_versions.submitted_by / submitted_at / submit_reason (the maintenance version)</t>
  </si>
  <si>
    <t xml:space="preserve">uuid / timestamptz / text</t>
  </si>
  <si>
    <t xml:space="preserve">M01-TC-227</t>
  </si>
  <si>
    <t xml:space="preserve">M01-AD-02-F15</t>
  </si>
  <si>
    <t xml:space="preserve">Start maintenance now</t>
  </si>
  <si>
    <t xml:space="preserve">Start maintenance now — Mode (Full or Read-only)</t>
  </si>
  <si>
    <t xml:space="preserve">m01.ad02.feature_switches.start_maintenance_now_mode.label</t>
  </si>
  <si>
    <t xml:space="preserve">Full · Read-only</t>
  </si>
  <si>
    <t xml:space="preserve">Super Admin only</t>
  </si>
  <si>
    <t xml:space="preserve">mode</t>
  </si>
  <si>
    <t xml:space="preserve">POST /v1/admin/maintenance/start</t>
  </si>
  <si>
    <t xml:space="preserve">M01-FR-CFG-012, M01-FR-API-009</t>
  </si>
  <si>
    <t xml:space="preserve">M01-TC-227, M01-TC-228</t>
  </si>
  <si>
    <t xml:space="preserve">M01-AD-02-F16</t>
  </si>
  <si>
    <t xml:space="preserve">Expected back</t>
  </si>
  <si>
    <t xml:space="preserve">m01.ad02.feature_switches.expected_back.label</t>
  </si>
  <si>
    <t xml:space="preserve">A future date and time, or empty</t>
  </si>
  <si>
    <t xml:space="preserve">“Expected back must be later than the start.”</t>
  </si>
  <si>
    <t xml:space="preserve">setting maintenance.expected_back_at (config_entries.value)</t>
  </si>
  <si>
    <t xml:space="preserve">M01-AD-02-F17</t>
  </si>
  <si>
    <t xml:space="preserve">Why now? (reason)</t>
  </si>
  <si>
    <t xml:space="preserve">m01.ad02.feature_switches.why_now.label</t>
  </si>
  <si>
    <t xml:space="preserve">config_versions.submit_reason</t>
  </si>
  <si>
    <t xml:space="preserve">M01-AD-02-F18</t>
  </si>
  <si>
    <t xml:space="preserve">Plan maintenance</t>
  </si>
  <si>
    <t xml:space="preserve">Plan maintenance — Start date and time</t>
  </si>
  <si>
    <t xml:space="preserve">m01.ad02.feature_switches.plan_maintenance_start_date.label</t>
  </si>
  <si>
    <t xml:space="preserve">A future date and time (shown in IST and the staff member’s zone); the next weekly window (Wednesday 02:00–04:00 IST) is suggested; another time needs a reason</t>
  </si>
  <si>
    <t xml:space="preserve">settings-version API (M01-3 §4.2)</t>
  </si>
  <si>
    <t xml:space="preserve">config_versions.scheduled_for</t>
  </si>
  <si>
    <t xml:space="preserve">M01-FR-CFG-012, M01-FR-CFG-009</t>
  </si>
  <si>
    <t xml:space="preserve">M01-AD-02-F19</t>
  </si>
  <si>
    <t xml:space="preserve">Plan maintenance — Mode, Expected back and reason</t>
  </si>
  <si>
    <t xml:space="preserve">m01.ad02.feature_switches.plan_maintenance_mode_expected.label</t>
  </si>
  <si>
    <t xml:space="preserve">Choice + date-time + text area</t>
  </si>
  <si>
    <t xml:space="preserve">Yes (mode, reason)</t>
  </si>
  <si>
    <t xml:space="preserve">Full · Read-only; expected back later than the start</t>
  </si>
  <si>
    <t xml:space="preserve">Super Admin only; a second Super Admin approves</t>
  </si>
  <si>
    <t xml:space="preserve">“Expected back must be later than the start.” · “A reason is required.”</t>
  </si>
  <si>
    <t xml:space="preserve">mode / expectedBackAt / reason</t>
  </si>
  <si>
    <t xml:space="preserve">setting platform.maintenance_mode · setting maintenance.expected_back_at · config_versions.submit_reason</t>
  </si>
  <si>
    <t xml:space="preserve">text / timestamptz / text</t>
  </si>
  <si>
    <t xml:space="preserve">M01-AD-02-F20</t>
  </si>
  <si>
    <t xml:space="preserve">End maintenance</t>
  </si>
  <si>
    <t xml:space="preserve">End maintenance — note</t>
  </si>
  <si>
    <t xml:space="preserve">m01.ad02.feature_switches.end_maintenance_note.label</t>
  </si>
  <si>
    <t xml:space="preserve">Super Admin only (one person; no second approval)</t>
  </si>
  <si>
    <t xml:space="preserve">POST /v1/admin/maintenance/end</t>
  </si>
  <si>
    <t xml:space="preserve">config_versions.submit_reason (the ending version)</t>
  </si>
  <si>
    <t xml:space="preserve">M01-TC-230</t>
  </si>
  <si>
    <t xml:space="preserve">M01-AD-06-F10</t>
  </si>
  <si>
    <t xml:space="preserve">Filters: module, key type, action on breach; search by action group</t>
  </si>
  <si>
    <t xml:space="preserve">m01.ad06.rate_limits.filters.filters.label</t>
  </si>
  <si>
    <t xml:space="preserve">Dropdowns + search</t>
  </si>
  <si>
    <t xml:space="preserve">module · keyType · onBreach · q</t>
  </si>
  <si>
    <t xml:space="preserve">rate_limit_policies.module / key_type / on_breach</t>
  </si>
  <si>
    <t xml:space="preserve">M01-AD-07-F13</t>
  </si>
  <si>
    <t xml:space="preserve">Essential (never paused)</t>
  </si>
  <si>
    <t xml:space="preserve">m01.ad07.ai_usage_budgets.essential.label</t>
  </si>
  <si>
    <t xml:space="preserve">high impact; Finance can draft, a Super Admin approves</t>
  </si>
  <si>
    <t xml:space="preserve">As in AIG-004</t>
  </si>
  <si>
    <t xml:space="preserve">Staff — Super Admin, Admin; Finance (draft)</t>
  </si>
  <si>
    <t xml:space="preserve">PATCH /v1/admin/ai/budgets/{id}</t>
  </si>
  <si>
    <t xml:space="preserve">M01-TC-221</t>
  </si>
  <si>
    <t xml:space="preserve">M01-AD-10-F16</t>
  </si>
  <si>
    <t xml:space="preserve">View account (link to account lookup)</t>
  </si>
  <si>
    <t xml:space="preserve">m01.ad10.retrying_dead_letter.view_account.link</t>
  </si>
  <si>
    <t xml:space="preserve">target ID only on this screen; account lookup (M02-AD-01) checks its own permission and records the look-up</t>
  </si>
  <si>
    <t xml:space="preserve">targetId</t>
  </si>
  <si>
    <t xml:space="preserve">— (opens M02-AD-01)</t>
  </si>
  <si>
    <t xml:space="preserve">jobs.payload (IDs only)</t>
  </si>
  <si>
    <t xml:space="preserve">M01-TC-223</t>
  </si>
  <si>
    <t xml:space="preserve">M01-AD-12-F23</t>
  </si>
  <si>
    <t xml:space="preserve">Add unit — Code</t>
  </si>
  <si>
    <t xml:space="preserve">m01.ad12.units.add_unit_code.label</t>
  </si>
  <si>
    <t xml:space="preserve">a–z, 0–9 and underscore; unique; never changed after publishing</t>
  </si>
  <si>
    <t xml:space="preserve">“A unit with this code already exists.”</t>
  </si>
  <si>
    <t xml:space="preserve">M01-6 §12.13; M01-5 §3.1</t>
  </si>
  <si>
    <t xml:space="preserve">M01-AD-12-F24</t>
  </si>
  <si>
    <t xml:space="preserve">Add unit — Type</t>
  </si>
  <si>
    <t xml:space="preserve">m01.ad12.units.add_unit_type.label</t>
  </si>
  <si>
    <t xml:space="preserve">M01-AD-12-F25</t>
  </si>
  <si>
    <t xml:space="preserve">Add unit — Standard unit</t>
  </si>
  <si>
    <t xml:space="preserve">m01.ad12.units.add_unit_standard_unit.label</t>
  </si>
  <si>
    <t xml:space="preserve">base_unit</t>
  </si>
  <si>
    <t xml:space="preserve">M01-AD-12-F26</t>
  </si>
  <si>
    <t xml:space="preserve">Add unit — Factor</t>
  </si>
  <si>
    <t xml:space="preserve">m01.ad12.units.add_unit_factor.label</t>
  </si>
  <si>
    <t xml:space="preserve">above 0; none for state-based units</t>
  </si>
  <si>
    <t xml:space="preserve">factor_to_base</t>
  </si>
  <si>
    <t xml:space="preserve">M01-AD-12-F27</t>
  </si>
  <si>
    <t xml:space="preserve">Add unit — State-based</t>
  </si>
  <si>
    <t xml:space="preserve">m01.ad12.units.add_unit_state_based.label</t>
  </si>
  <si>
    <t xml:space="preserve">is_state_based</t>
  </si>
  <si>
    <t xml:space="preserve">M01-AD-12-F28</t>
  </si>
  <si>
    <t xml:space="preserve">Add unit — Helper only</t>
  </si>
  <si>
    <t xml:space="preserve">m01.ad12.units.add_unit_helper_only.label</t>
  </si>
  <si>
    <t xml:space="preserve">is_helper_only</t>
  </si>
  <si>
    <t xml:space="preserve">ID</t>
  </si>
  <si>
    <t xml:space="preserve">Field</t>
  </si>
  <si>
    <t xml:space="preserve">Problem</t>
  </si>
  <si>
    <t xml:space="preserve">Suggestion</t>
  </si>
  <si>
    <t xml:space="preserve">Product owner decision</t>
  </si>
  <si>
    <t xml:space="preserve">OI-01</t>
  </si>
  <si>
    <t xml:space="preserve">M01-S01-F05</t>
  </si>
  <si>
    <t xml:space="preserve">No column</t>
  </si>
  <si>
    <t xml:space="preserve">Photo order and the cover (first photo) have no column: files has no position / order column and no M01 table records the order, yet FIL-005 requires reordering by drag and the first photo is the cover.</t>
  </si>
  <si>
    <t xml:space="preserve">State in M01-5 (or the M05 design) where the order is stored, e.g. a position column on the listing-photo link owned by M05, and cite it here.</t>
  </si>
  <si>
    <t xml:space="preserve">Photo order and cover are stored by M05 on its listing-photo link (position column); M01-5 says so.</t>
  </si>
  <si>
    <t xml:space="preserve">Decided (29 Sep 2026)</t>
  </si>
  <si>
    <t xml:space="preserve">OI-02</t>
  </si>
  <si>
    <t xml:space="preserve">M01-S01-F12</t>
  </si>
  <si>
    <t xml:space="preserve">Other</t>
  </si>
  <si>
    <t xml:space="preserve">The watermark toggle writes files.has_watermark, but no endpoint carries it: POST /v1/files / FileService.createUploadSlot(owner, purpose, type, size) has no watermark parameter. The label “to my photos” also suggests an account-level choice, while the column is per file.</t>
  </si>
  <si>
    <t xml:space="preserve">Add hasWatermark to POST /v1/files (or a PATCH on the file) and say whether the choice is per file or remembered per account.</t>
  </si>
  <si>
    <t xml:space="preserve">Remember per account: user_preferences.watermark_default; each photo keeps files.has_watermark.</t>
  </si>
  <si>
    <t xml:space="preserve">OI-03</t>
  </si>
  <si>
    <t xml:space="preserve">M01-S03-F01</t>
  </si>
  <si>
    <t xml:space="preserve">No screen</t>
  </si>
  <si>
    <t xml:space="preserve">files.side (front, back, selfie or page for ID and document scans) is set by no screen and no API parameter: the document uploader has no side selector and POST /v1/files takes only owner, purpose, type and size.</t>
  </si>
  <si>
    <t xml:space="preserve">Add a side parameter to POST /v1/files (set by the M03 / M06 form) or drop the column.</t>
  </si>
  <si>
    <t xml:space="preserve">Add side to POST /v1/files; the M03 / M06 form shows one slot per side.</t>
  </si>
  <si>
    <t xml:space="preserve">OI-04</t>
  </si>
  <si>
    <t xml:space="preserve">M01-S01-F08</t>
  </si>
  <si>
    <t xml:space="preserve">Label mismatch</t>
  </si>
  <si>
    <t xml:space="preserve">The held-photo chip names only “a phone number, payment ID or QR code”, but the check also holds for email addresses and web addresses (files.safety_flags: phone, email, upi, url, qr; FIL-023).</t>
  </si>
  <si>
    <t xml:space="preserve">Show the found type from safety_flags, or add email and web address to the text.</t>
  </si>
  <si>
    <t xml:space="preserve">Use M01-6 wording; the chip names all found types (phone number, email, web address, payment ID or QR code).</t>
  </si>
  <si>
    <t xml:space="preserve">OI-05</t>
  </si>
  <si>
    <t xml:space="preserve">M01-S01-F01</t>
  </si>
  <si>
    <t xml:space="preserve">Limit mismatch</t>
  </si>
  <si>
    <t xml:space="preserve">The uploader texts fix the limits: “Add photos (up to 10) … max 15 MB”, “Photo is larger than 15 MB”, “You’ve added 10 photos, the maximum.”, “4 of 10”; video “up to 60 seconds … max 100 MB”; documents “max 10 MB”. These are settings with ranges (files.photo.max_mb 1–50, files.listing.photos_max 1–30, files.video.* , files.document.max_mb 1–25) and can be overridden by plan or category (TC-076 expects 15 photos); M01-3 §4.3 already uses {max}.</t>
  </si>
  <si>
    <t xml:space="preserve">Write the texts with placeholders filled from the settings ({max} MB, {n} photos, {seconds}).</t>
  </si>
  <si>
    <t xml:space="preserve">Texts use placeholders from the settings ({n}, {max}, {seconds}).</t>
  </si>
  <si>
    <t xml:space="preserve">OI-06</t>
  </si>
  <si>
    <t xml:space="preserve">M01-S02-F03</t>
  </si>
  <si>
    <t xml:space="preserve">The uploaders are also used for business-location media (FIL-026: up to 2 photos per location, video ≤ 45 s and ≤ 45 MB, server compresses), but M01-6 §3 / §4 give only the listing limits and texts (10 photos, 60 s, 100 MB). M01-4 §4 mentions 45 s / 45 MB.</t>
  </si>
  <si>
    <t xml:space="preserve">Add the business-location states and texts (limits from files.location_photo.max_per_location and files.location_video.*) to M01-6 §3 and §4.</t>
  </si>
  <si>
    <t xml:space="preserve">Business-location limits and texts added to M01-6 §3 and §4.</t>
  </si>
  <si>
    <t xml:space="preserve">OI-07</t>
  </si>
  <si>
    <t xml:space="preserve">The too-long video message differs: M01-2 FIL-012 requires “Video must be 60 seconds or shorter”, while M01-6 §4 and M01-3 VIDEO_TOO_LONG say “This video is {length}. Please trim it to {max} seconds or less.”</t>
  </si>
  <si>
    <t xml:space="preserve">Align FIL-012 with the M01-6 / M01-3 wording.</t>
  </si>
  <si>
    <t xml:space="preserve">FIL-012 uses the M01-6 / M01-3 wording.</t>
  </si>
  <si>
    <t xml:space="preserve">OI-08</t>
  </si>
  <si>
    <t xml:space="preserve">No test</t>
  </si>
  <si>
    <t xml:space="preserve">No error text for a video larger than 100 MB in M01-6 §4 (only the generic FILE_TOO_LARGE “File is larger than {max} MB.” in M01-3), and no test for the size limit: TC-013 uploads 90 MB; the test sample set lists a 120 MB video but no test case uses it.</t>
  </si>
  <si>
    <t xml:space="preserve">Add the oversize state to M01-6 §4 and a test (e.g. upload a 120 MB video → refused).</t>
  </si>
  <si>
    <t xml:space="preserve">Oversize state added to M01-6 §4; test M01-TC-209.</t>
  </si>
  <si>
    <t xml:space="preserve">OI-09</t>
  </si>
  <si>
    <t xml:space="preserve">M01-S02-F02</t>
  </si>
  <si>
    <t xml:space="preserve">“Video: 1 of 2 used on your plan.” needs the used and total allowance, but no M01-3 endpoint returns it; the allowance is only enforced as 403 UPLOAD_ALLOWANCE_USED on POST /v1/files.</t>
  </si>
  <si>
    <t xml:space="preserve">Name the read endpoint (e.g. GET /v1/me/allowances from M11, or a field on GET /v1/files).</t>
  </si>
  <si>
    <t xml:space="preserve">GET /v1/me/allowances (Module 11 plan allowance).</t>
  </si>
  <si>
    <t xml:space="preserve">OI-10</t>
  </si>
  <si>
    <t xml:space="preserve">M01-S05-F03</t>
  </si>
  <si>
    <t xml:space="preserve">No test sets the Choose panel toggles separately (e.g. Analytics on, Marketing off → Save choices), and none checks that the choice is asked again after 12 months (CKE-005; setting cookies.consent_months 6–12). TC-058 / TC-059 cover Reject all and Accept only.</t>
  </si>
  <si>
    <t xml:space="preserve">Add tests for mixed toggles and for the 12-month re-ask.</t>
  </si>
  <si>
    <t xml:space="preserve">Tests M01-TC-210 (toggles) and M01-TC-211 (asked again).</t>
  </si>
  <si>
    <t xml:space="preserve">OI-11</t>
  </si>
  <si>
    <t xml:space="preserve">M01-S06-F04</t>
  </si>
  <si>
    <t xml:space="preserve">The sign-in row shows a place (“Guwahati, IN”), but audit_log stores only ip (inet); no column, lookup or rule says how the place is found.</t>
  </si>
  <si>
    <t xml:space="preserve">Specify the IP-to-place lookup (and that the place is not stored), or store a coarse place when the sign-in is recorded.</t>
  </si>
  <si>
    <t xml:space="preserve">Store city and country (audit_log.geo_city / geo_country) when the sign-in is recorded.</t>
  </si>
  <si>
    <t xml:space="preserve">OI-12</t>
  </si>
  <si>
    <t xml:space="preserve">M01-S06-F01</t>
  </si>
  <si>
    <t xml:space="preserve">The activity filters (sign-ins, changes, document views, agent actions) and agent-action rows are not tested: TC-045 only checks that own sign-ins, changes and document views are shown. GET /v1/me/activity also names no filter parameter.</t>
  </si>
  <si>
    <t xml:space="preserve">Add a filter parameter to GET /v1/me/activity and a test per filter, including an agent action.</t>
  </si>
  <si>
    <t xml:space="preserve">GET /v1/me/activity?type= and test M01-TC-212.</t>
  </si>
  <si>
    <t xml:space="preserve">OI-13</t>
  </si>
  <si>
    <t xml:space="preserve">M01-S07-F02</t>
  </si>
  <si>
    <t xml:space="preserve">M01-2 API-004 says the 404, 500 and maintenance pages each have a search box and a help link, but M01-6 §10 puts a search box only on 404; 500 has Try again · Help centre, and maintenance has neither.</t>
  </si>
  <si>
    <t xml:space="preserve">Align API-004 with M01-6 §10, or add a search box and help link to the 500 and maintenance pages.</t>
  </si>
  <si>
    <t xml:space="preserve">Follow M01-6: API-004 changed (search only on 404).</t>
  </si>
  <si>
    <t xml:space="preserve">OI-14</t>
  </si>
  <si>
    <t xml:space="preserve">M01-S07-F04</t>
  </si>
  <si>
    <t xml:space="preserve">The offline text differs: M01-6 §10 “You’re offline. We’ll retry when you’re connected.” vs M01-4 §7 “You’re offline — we’ll retry when you’re back online”.</t>
  </si>
  <si>
    <t xml:space="preserve">Use one text (M01-6 is the wording source).</t>
  </si>
  <si>
    <t xml:space="preserve">M01-4 uses the M01-6 offline text.</t>
  </si>
  <si>
    <t xml:space="preserve">OI-15</t>
  </si>
  <si>
    <t xml:space="preserve">M01-S07-F03</t>
  </si>
  <si>
    <t xml:space="preserve">The maintenance page shows “Expected back: time in the user’s zone”, but no setting (M01-2 §18), column or endpoint is named as the source of that time.</t>
  </si>
  <si>
    <t xml:space="preserve">Name the source (e.g. a maintenance setting or the status-page provider) and the endpoint the page reads.</t>
  </si>
  <si>
    <t xml:space="preserve">Setting maintenance.expected_back_at; Module 1 writes /status/maintenance.json to the CDN when it is published; the maintenance page reads that file (works while the API is down).</t>
  </si>
  <si>
    <t xml:space="preserve">OI-16</t>
  </si>
  <si>
    <t xml:space="preserve">The maintenance and offline pages have no test: TC-066 covers 404 and 500; TC-097 only checks the status page.</t>
  </si>
  <si>
    <t xml:space="preserve">Add tests for the maintenance page (expected-back time in the user’s zone) and the offline page.</t>
  </si>
  <si>
    <t xml:space="preserve">Tests M01-TC-213 (maintenance) and M01-TC-214 (offline).</t>
  </si>
  <si>
    <t xml:space="preserve">OI-17</t>
  </si>
  <si>
    <t xml:space="preserve">M01-S05-F01</t>
  </si>
  <si>
    <t xml:space="preserve">M01-3 §4 says GET · PUT /v1/me/preferences also carries the “cookie choice”, but user_preferences has no cookie column; the choice is stored in cookie_consents through POST /v1/consents.</t>
  </si>
  <si>
    <t xml:space="preserve">Remove “cookie choice” from the preferences endpoint, or say it reads / writes cookie_consents.</t>
  </si>
  <si>
    <t xml:space="preserve">Cookie choice removed from the preferences endpoint; POST /v1/consents only.</t>
  </si>
  <si>
    <t xml:space="preserve">OI-18</t>
  </si>
  <si>
    <t xml:space="preserve">M01-S09-F04</t>
  </si>
  <si>
    <t xml:space="preserve">Owner of time_zone_source is unclear: M01-5 §4.2 says it is “Written by M02”, while M01-3 §4 has the Module 1 endpoint PUT /v1/me/preferences set the time zone with its source (user).</t>
  </si>
  <si>
    <t xml:space="preserve">Say which module writes each value (M02 at sign-up: country / browser; M01 preferences page: user).</t>
  </si>
  <si>
    <t xml:space="preserve">M02 writes country or browser at sign-up; the M01 preferences page writes user.</t>
  </si>
  <si>
    <t xml:space="preserve">OI-19</t>
  </si>
  <si>
    <t xml:space="preserve">M01-S09-F01</t>
  </si>
  <si>
    <t xml:space="preserve">The Language and Time zone fields have no test (TC-033 covers number format and TC-069 guide currency); the rule “A time zone the user chooses is never replaced automatically” is untested.</t>
  </si>
  <si>
    <t xml:space="preserve">Add tests: change language and time zone on Account → Preferences; sign in from another country and check the chosen zone is kept.</t>
  </si>
  <si>
    <t xml:space="preserve">Test M01-TC-215.</t>
  </si>
  <si>
    <t xml:space="preserve">OI-20</t>
  </si>
  <si>
    <t xml:space="preserve">M01-AD-01-F36</t>
  </si>
  <si>
    <t xml:space="preserve">The emergency path requires “Why is this an emergency?”, but config_versions has no column for it (only is_emergency, reviewed_by, reviewed_at); submit_reason is for sending a draft for approval.</t>
  </si>
  <si>
    <t xml:space="preserve">Add an emergency reason column (or state that submit_reason holds it for emergency versions).</t>
  </si>
  <si>
    <t xml:space="preserve">Emergency reason kept in config_versions.submit_reason (no new column).</t>
  </si>
  <si>
    <t xml:space="preserve">OI-21</t>
  </si>
  <si>
    <t xml:space="preserve">M01-AD-01-F37</t>
  </si>
  <si>
    <t xml:space="preserve">No screen element lets the second Super Admin record the 24-hour review: M01-6 §12.1 only says the review must happen, while M01-3 has POST /v1/admin/config/emergency/{versionId}/review (confirm or open a follow-up draft) and config_versions.reviewed_by / reviewed_at.</t>
  </si>
  <si>
    <t xml:space="preserve">Add a Review action (confirm / open follow-up draft) to M01-6 §12.1 or to the M16-AD-01 changes screen.</t>
  </si>
  <si>
    <t xml:space="preserve">Review on the Changes screen (M16-AD-01): Confirm or Open follow-up draft.</t>
  </si>
  <si>
    <t xml:space="preserve">OI-22</t>
  </si>
  <si>
    <t xml:space="preserve">M01-AD-01-F32</t>
  </si>
  <si>
    <t xml:space="preserve">The History tab lists only who made the version, who approved it, when it was published and the reason; the columns submitted_by / submitted_at, rejected_by / rejected_at, cancelled_by / cancelled_at and published_by are shown on no screen (M01-3 GET …/versions returns “people, times and reasons”).</t>
  </si>
  <si>
    <t xml:space="preserve">List these people and times in the History tab.</t>
  </si>
  <si>
    <t xml:space="preserve">History tab shows sent, rejected, cancelled and published by / when.</t>
  </si>
  <si>
    <t xml:space="preserve">OI-23</t>
  </si>
  <si>
    <t xml:space="preserve">M01-AD-01-F03</t>
  </si>
  <si>
    <t xml:space="preserve">The settings editor shows both a “name” and a “one-line description”, but the settings register (M01-2 §18) has only Key and What it controls; there is no name field.</t>
  </si>
  <si>
    <t xml:space="preserve">Add a Name column to the settings register, or show Key + What it controls only.</t>
  </si>
  <si>
    <t xml:space="preserve">Settings register gets a Name column (206 names); the editor shows name + description.</t>
  </si>
  <si>
    <t xml:space="preserve">OI-24</t>
  </si>
  <si>
    <t xml:space="preserve">backups.pitr_days has screen “— (infrastructure code)” in M01-2 §18, but TC-192 expects every value it reads, backups included, to match §18 “and can be changed on its settings screen”.</t>
  </si>
  <si>
    <t xml:space="preserve">Exclude backups.pitr_days from that TC-192 check, or give it a screen.</t>
  </si>
  <si>
    <t xml:space="preserve">backups.pitr_days is set in infrastructure code; TC-192 only reads it.</t>
  </si>
  <si>
    <t xml:space="preserve">OI-25</t>
  </si>
  <si>
    <t xml:space="preserve">M01-AD-01-F58</t>
  </si>
  <si>
    <t xml:space="preserve">Setting rows with no test: files.video.max_mb, files.decode.memory_mb, files.decode.timeout_heic_s, files.decode.timeout_other_s, agent_app.offline_queue_days (7-day wipe), outbox.keep_days, url.old_address_reserved_months (12 months), cookies.consent_months, ai.timeout_seconds.</t>
  </si>
  <si>
    <t xml:space="preserve">Add a test per setting (change the value and check the effect).</t>
  </si>
  <si>
    <t xml:space="preserve">Test M01-TC-216 covers the nine settings.</t>
  </si>
  <si>
    <t xml:space="preserve">OI-26</t>
  </si>
  <si>
    <t xml:space="preserve">M01-AD-02-F03</t>
  </si>
  <si>
    <t xml:space="preserve">The switch list shows a description and an owner module, but feature_flags has only name, is_enabled and rules.</t>
  </si>
  <si>
    <t xml:space="preserve">Add description and owner_module columns to feature_flags (or read them from a register).</t>
  </si>
  <si>
    <t xml:space="preserve">feature_flags gets description and owner_module.</t>
  </si>
  <si>
    <t xml:space="preserve">OI-27</t>
  </si>
  <si>
    <t xml:space="preserve">M01-3 §4.2 has POST /v1/admin/switches (create) and POST …/{name}/retire, but feature_flags has no active / status column to record a retired switch, and M01-6 §12.3 has no Add switch or Retire action.</t>
  </si>
  <si>
    <t xml:space="preserve">Add an active column and the actions to M01-6 §12.3, or remove the create and retire endpoints.</t>
  </si>
  <si>
    <t xml:space="preserve">New switches come with code releases (create endpoint removed); Retire on the screen; feature_flags.active added.</t>
  </si>
  <si>
    <t xml:space="preserve">OI-28</t>
  </si>
  <si>
    <t xml:space="preserve">M01-AD-03-F06</t>
  </si>
  <si>
    <t xml:space="preserve">Selling allowed, launch status and export listings visible are “kept with the country’s features (M01-5 Section 5.1)”, but M01-5 §5.1 only shows {“opportunities”: false}; the jsonb keys and allowed values (e.g. launch status open / invited only / not yet open) are not defined.</t>
  </si>
  <si>
    <t xml:space="preserve">List the features keys and their values in M01-5 §5.1.</t>
  </si>
  <si>
    <t xml:space="preserve">M01-5 §5.1 lists the features keys and values.</t>
  </si>
  <si>
    <t xml:space="preserve">OI-29</t>
  </si>
  <si>
    <t xml:space="preserve">M01-AD-03-F19</t>
  </si>
  <si>
    <t xml:space="preserve">Several country fields have no detail tab to edit them: status (high impact) and the “other” fields names, market region, currency, guide currency and default language are shown in the list, but the General tab lists only phone code, time zones, weekend days, number style and address layout. TC-208 edits the market region.</t>
  </si>
  <si>
    <t xml:space="preserve">Put status in the Features tab (or its own), and add names, market region, currency, guide currency and default language to the General tab.</t>
  </si>
  <si>
    <t xml:space="preserve">Status goes in the “Status and features” tab; names, market region, currency, guide currency and default language in General.</t>
  </si>
  <si>
    <t xml:space="preserve">OI-30</t>
  </si>
  <si>
    <t xml:space="preserve">M01-AD-03-F34</t>
  </si>
  <si>
    <t xml:space="preserve">M01-2 §18 assigns countries.guide_currencies (currencies offered as guide currency) to M01-AD-03, and TC-120 removes SGD “in Admin”, but M01-6 §12.4 has no field for it and M01-3 §4.2 has no endpoint for it.</t>
  </si>
  <si>
    <t xml:space="preserve">Add the guide-currency list to §12.4 (or move the setting to the settings editor).</t>
  </si>
  <si>
    <t xml:space="preserve">Guide currencies offered moves to the Settings editor (M01-AD-01).</t>
  </si>
  <si>
    <t xml:space="preserve">OI-31</t>
  </si>
  <si>
    <t xml:space="preserve">M01-AD-03-F04</t>
  </si>
  <si>
    <t xml:space="preserve">The settings register has no row for the “other” country fields (names, market region, phone code, time zones, weekend days, number style, address layout, currency, default language) or for states and districts, although §12.1 says only settings in the register exist and each has its level there; §18 lists only status / features / sign-in (High) and the OTP cap.</t>
  </si>
  <si>
    <t xml:space="preserve">Add register rows (level Other) for these country fields and for country_regions / country_districts.</t>
  </si>
  <si>
    <t xml:space="preserve">Register rows added (level Other): countries.&lt;code&gt;.general and country_regions / country_districts.</t>
  </si>
  <si>
    <t xml:space="preserve">OI-32</t>
  </si>
  <si>
    <t xml:space="preserve">TC-208 sets a country’s market region “from other to gulf”, but “other” is not an allowed value (south_asia, gulf, other_middle_east, south_east_asia, east_asia, europe, americas, africa, oceania).</t>
  </si>
  <si>
    <t xml:space="preserve">Change TC-208 to use an allowed value (e.g. from other_middle_east to gulf).</t>
  </si>
  <si>
    <t xml:space="preserve">Fixed 28 Sep 2026: M01-TC-208 now changes other_middle_east → gulf.</t>
  </si>
  <si>
    <t xml:space="preserve">Fixed</t>
  </si>
  <si>
    <t xml:space="preserve">OI-33</t>
  </si>
  <si>
    <t xml:space="preserve">M01-AD-03-F28</t>
  </si>
  <si>
    <t xml:space="preserve">The States and districts tab has no fields, states, messages or errors in M01-6 §12.4 (only “(CTY-002)”), although M01-3 has create, edit and retire endpoints for regions and districts.</t>
  </si>
  <si>
    <t xml:space="preserve">Specify the tab: columns (code, name, active), add / rename / retire, and errors.</t>
  </si>
  <si>
    <t xml:space="preserve">States and districts tab specified in M01-6 §12.4 (errors: “A state with this code already exists.”, “This state has {n} active districts. Retire them first.”).</t>
  </si>
  <si>
    <t xml:space="preserve">OI-34</t>
  </si>
  <si>
    <t xml:space="preserve">M01-AD-03-F11</t>
  </si>
  <si>
    <t xml:space="preserve">Country table inputs with no test: status and selling-allowed filters, time zones, weekend days, sign-in methods (“At least one sign-in method is required.”), SMS sender name registered, export listings visible, launch status, and editing states / districts (TC-099 only reads districts).</t>
  </si>
  <si>
    <t xml:space="preserve">Add screen tests for these fields.</t>
  </si>
  <si>
    <t xml:space="preserve">Test M01-TC-217.</t>
  </si>
  <si>
    <t xml:space="preserve">OI-35</t>
  </si>
  <si>
    <t xml:space="preserve">M01-AD-04-F17</t>
  </si>
  <si>
    <t xml:space="preserve">Retiring a reserved name needs a reason, but reserved_names has no retire-reason column (only reason for adding and active).</t>
  </si>
  <si>
    <t xml:space="preserve">Add a retire_reason column, or state that the reason is kept only on the config version / audit record.</t>
  </si>
  <si>
    <t xml:space="preserve">Retire reason kept on the config version and in the audit log (no new column).</t>
  </si>
  <si>
    <t xml:space="preserve">OI-36</t>
  </si>
  <si>
    <t xml:space="preserve">M01-AD-04-F11</t>
  </si>
  <si>
    <t xml:space="preserve">The message “This name is already on the list as {kind}.” suggests a name can be on the list only once, but the constraint is UNIQUE (name, kind), which allows the same name under a second kind.</t>
  </si>
  <si>
    <t xml:space="preserve">Decide: UNIQUE (name), or allow one row per kind and change the message.</t>
  </si>
  <si>
    <t xml:space="preserve">A name is on the list once: UNIQUE (name).</t>
  </si>
  <si>
    <t xml:space="preserve">OI-37</t>
  </si>
  <si>
    <t xml:space="preserve">M01-AD-04-F01</t>
  </si>
  <si>
    <t xml:space="preserve">Reserved names: search, the kind filter and Retire are not tested (TC-143, TC-175, TC-202 cover adding and matching).</t>
  </si>
  <si>
    <t xml:space="preserve">Add tests for search / filter and for retiring a name (reason required; name no longer blocked after publishing).</t>
  </si>
  <si>
    <t xml:space="preserve">Test M01-TC-218.</t>
  </si>
  <si>
    <t xml:space="preserve">OI-38</t>
  </si>
  <si>
    <t xml:space="preserve">M01-AD-05-F09</t>
  </si>
  <si>
    <t xml:space="preserve">Staff type a holiday name (Add holiday; CSV column “name”), but business_holidays stores only name_key, a translation key (e.g. holiday.diwali); no holiday endpoint says how the typed text becomes a key and translation.</t>
  </si>
  <si>
    <t xml:space="preserve">Say how the key is made and the text stored in translations, or add a name column.</t>
  </si>
  <si>
    <t xml:space="preserve">The server makes the key from the English name and stores the text in translations.</t>
  </si>
  <si>
    <t xml:space="preserve">OI-39</t>
  </si>
  <si>
    <t xml:space="preserve">M01-AD-05-F01</t>
  </si>
  <si>
    <t xml:space="preserve">Holiday calendar: country and year switchers, the kind field and Retire have no test (TC-141 adds a holiday; TC-176 imports a year).</t>
  </si>
  <si>
    <t xml:space="preserve">Add tests for switching year / country, kind, and retiring a holiday.</t>
  </si>
  <si>
    <t xml:space="preserve">Test M01-TC-219.</t>
  </si>
  <si>
    <t xml:space="preserve">OI-40</t>
  </si>
  <si>
    <t xml:space="preserve">M01-AD-06-F03</t>
  </si>
  <si>
    <t xml:space="preserve">M01-3 §10 uses the keys “Staff user” and “Crawler (verified by reverse DNS)”, but rate_limit_policies.key_type allows only ip, device, account, plan, api_key.</t>
  </si>
  <si>
    <t xml:space="preserve">Add staff_user and crawler to key_type (M01-5 §8.3) and to the Key column.</t>
  </si>
  <si>
    <t xml:space="preserve">key_type adds staff_user and crawler.</t>
  </si>
  <si>
    <t xml:space="preserve">OI-41</t>
  </si>
  <si>
    <t xml:space="preserve">M01-AD-06-F06</t>
  </si>
  <si>
    <t xml:space="preserve">on_breach holds one value (wait, challenge, block_15m, security_event), but M01-3 §10 uses “Ignore extra” (cookie consent write), “Slow down (429)” (crawlers) and escalations such as “Wait message; repeated → challenge” and “Challenge; then 15-min block”. Also block_15m fixes 15 minutes while rate_limit.block_minutes can be 5–1,440.</t>
  </si>
  <si>
    <t xml:space="preserve">Make on_breach an ordered list with the extra values, and rename block_15m to block (length from rate_limit.block_minutes).</t>
  </si>
  <si>
    <t xml:space="preserve">on_breach is an ordered list (wait, challenge, slow_down, ignore, block, security_event); block length from rate_limit.block_minutes.</t>
  </si>
  <si>
    <t xml:space="preserve">OI-42</t>
  </si>
  <si>
    <t xml:space="preserve">M01-AD-06-F08</t>
  </si>
  <si>
    <t xml:space="preserve">The side panel counts blocks in the last 24 hours for the selected policy, but rate_limit_blocks (key, until, reason, set_by) has no module / action_group column, so blocks cannot be tied to a policy.</t>
  </si>
  <si>
    <t xml:space="preserve">Add module and action_group to rate_limit_blocks (or count from security.rate_block events that carry the group).</t>
  </si>
  <si>
    <t xml:space="preserve">rate_limit_blocks gets module and action_group.</t>
  </si>
  <si>
    <t xml:space="preserve">OI-43</t>
  </si>
  <si>
    <t xml:space="preserve">M01-AD-06-F09</t>
  </si>
  <si>
    <t xml:space="preserve">M01-2 §18 assigns rate_limit.block_minutes (15, 5–1,440, High) to M01-AD-06, but M01-6 §12.7 has no field for it and M01-3 §4.2 has no endpoint for it.</t>
  </si>
  <si>
    <t xml:space="preserve">Add the block length to §12.7 (or move the setting to the settings editor).</t>
  </si>
  <si>
    <t xml:space="preserve">Block length field at the top of the Rate limits screen.</t>
  </si>
  <si>
    <t xml:space="preserve">OI-44</t>
  </si>
  <si>
    <t xml:space="preserve">M01-AD-06-F01</t>
  </si>
  <si>
    <t xml:space="preserve">The empty state says “No policies match these filters.”, but §12.7 names no filters or search.</t>
  </si>
  <si>
    <t xml:space="preserve">Specify the filters (e.g. module, key type, action on breach) and a search.</t>
  </si>
  <si>
    <t xml:space="preserve">Filters (module, key type, action on breach) and search added to M01-6 §12.7.</t>
  </si>
  <si>
    <t xml:space="preserve">OI-45</t>
  </si>
  <si>
    <t xml:space="preserve">M01-AD-06-F05</t>
  </si>
  <si>
    <t xml:space="preserve">Rate limits: editing the time window and the action on breach is not tested (TC-177 changes only the limit).</t>
  </si>
  <si>
    <t xml:space="preserve">Add tests for window and action changes.</t>
  </si>
  <si>
    <t xml:space="preserve">Test M01-TC-220.</t>
  </si>
  <si>
    <t xml:space="preserve">OI-46</t>
  </si>
  <si>
    <t xml:space="preserve">M01-AD-07-F08</t>
  </si>
  <si>
    <t xml:space="preserve">The setting ai_budgets.&lt;module&gt;.&lt;purpose&gt; covers the monthly limit, “its alert levels and whether it is essential”, but Edit budget allows only monthly amount and alert levels; is_essential (and ai_budgets.active) is edited on no screen.</t>
  </si>
  <si>
    <t xml:space="preserve">Add an Essential switch (and active) to Edit budget, or take “whether it is essential” out of the setting.</t>
  </si>
  <si>
    <t xml:space="preserve">Essential (never paused) switch added to Edit budget (high impact).</t>
  </si>
  <si>
    <t xml:space="preserve">OI-47</t>
  </si>
  <si>
    <t xml:space="preserve">M01-AD-07-F01</t>
  </si>
  <si>
    <t xml:space="preserve">The month picker shows past months “against the monthly budget” with alert and pause state, but ai_budgets holds only the current monthly_limit, spent_this_month and paused_at (no month); past budgets would have to come from config_versions history.</t>
  </si>
  <si>
    <t xml:space="preserve">State that past months use the budget of the version published then, or add a monthly budget history table.</t>
  </si>
  <si>
    <t xml:space="preserve">A past month uses the budget of the version live then (no new table).</t>
  </si>
  <si>
    <t xml:space="preserve">OI-48</t>
  </si>
  <si>
    <t xml:space="preserve">M01-AD-07-F12</t>
  </si>
  <si>
    <t xml:space="preserve">AI usage: the month picker and the alert-levels field are not tested (TC-149, TC-178, TC-184 cover amounts, alerts at 80 / 100 % and pause).</t>
  </si>
  <si>
    <t xml:space="preserve">Add tests for choosing a past month and changing alert levels.</t>
  </si>
  <si>
    <t xml:space="preserve">Test M01-TC-221.</t>
  </si>
  <si>
    <t xml:space="preserve">OI-49</t>
  </si>
  <si>
    <t xml:space="preserve">M01-AD-08-F13</t>
  </si>
  <si>
    <t xml:space="preserve">The record detail shows a per-record chain result (“Chain intact — checked {date time}”, “Chain break found …”), but audit_log (append-only) holds only hash / prev_hash and no table stores the audit.verify result or where a break was found.</t>
  </si>
  <si>
    <t xml:space="preserve">Add a small table for verify runs (month, checked_at, result, first broken id) and read the result from it.</t>
  </si>
  <si>
    <t xml:space="preserve">New table audit_verify_runs (M01-5 §9.4).</t>
  </si>
  <si>
    <t xml:space="preserve">OI-50</t>
  </si>
  <si>
    <t xml:space="preserve">M01-AD-09-F02</t>
  </si>
  <si>
    <t xml:space="preserve">Legal hold: the filters (scope type, placed by, date) and search by ID or reference are not tested.</t>
  </si>
  <si>
    <t xml:space="preserve">Add tests for each filter and the search.</t>
  </si>
  <si>
    <t xml:space="preserve">Test M01-TC-222.</t>
  </si>
  <si>
    <t xml:space="preserve">OI-51</t>
  </si>
  <si>
    <t xml:space="preserve">M01-AD-09-F14</t>
  </si>
  <si>
    <t xml:space="preserve">The route /admin/legal-holds/{id} (detail) has no matching read endpoint: M01-3 lists GET /v1/admin/legal-holds, POST, POST …/{id}/release and GET …/coverage, but no GET /v1/admin/legal-holds/{id}.</t>
  </si>
  <si>
    <t xml:space="preserve">Add GET /v1/admin/legal-holds/{id}.</t>
  </si>
  <si>
    <t xml:space="preserve">GET /v1/admin/legal-holds/{id} added.</t>
  </si>
  <si>
    <t xml:space="preserve">OI-52</t>
  </si>
  <si>
    <t xml:space="preserve">M01-AD-10-F01</t>
  </si>
  <si>
    <t xml:space="preserve">The API filter status=retrying is not a jobs.status value (queued, running, done, dead, discarded); “Retrying” has to be derived (e.g. queued with attempts &gt; 0).</t>
  </si>
  <si>
    <t xml:space="preserve">Define the rule for “retrying” in M01-3, or add a retrying status.</t>
  </si>
  <si>
    <t xml:space="preserve">Retrying = queued with attempts above 0 (derived; no new status).</t>
  </si>
  <si>
    <t xml:space="preserve">OI-53</t>
  </si>
  <si>
    <t xml:space="preserve">M01-AD-10-F07</t>
  </si>
  <si>
    <t xml:space="preserve">The owner-module column and filter and the first-failure-time column have no column in jobs (id, kind, payload, run_at, status, attempts, last_error).</t>
  </si>
  <si>
    <t xml:space="preserve">Add module and first_failed_at to jobs, or derive the module from the kind prefix and say so.</t>
  </si>
  <si>
    <t xml:space="preserve">jobs gets module and first_failed_at.</t>
  </si>
  <si>
    <t xml:space="preserve">OI-54</t>
  </si>
  <si>
    <t xml:space="preserve">M01-AD-10-F14</t>
  </si>
  <si>
    <t xml:space="preserve">Retry all of this kind and Discard need a reason, but jobs has no column for it (discard only sets status discarded).</t>
  </si>
  <si>
    <t xml:space="preserve">Add a discard_reason column, or state that the reason is kept only in audit_log.</t>
  </si>
  <si>
    <t xml:space="preserve">Retry-all and discard reasons kept in the audit log (no new column).</t>
  </si>
  <si>
    <t xml:space="preserve">OI-55</t>
  </si>
  <si>
    <t xml:space="preserve">M01-AD-10-F10</t>
  </si>
  <si>
    <t xml:space="preserve">Privacy</t>
  </si>
  <si>
    <t xml:space="preserve">The screen promises the last error has “no personal data”, and shows the target from the payload, but M01-5 §9.3 and M01-3 §5 set no rule that jobs.last_error or payload exclude personal data.</t>
  </si>
  <si>
    <t xml:space="preserve">Add a rule in M01-3 / M01-5: last_error is a short code plus request ID, scrubbed of personal data; show only IDs from the payload.</t>
  </si>
  <si>
    <t xml:space="preserve">last_error = code + request ID with personal data removed; IDs only from the payload; “View account” link to account lookup (M02-AD-01).</t>
  </si>
  <si>
    <t xml:space="preserve">OI-56</t>
  </si>
  <si>
    <t xml:space="preserve">M01-AD-10-F02</t>
  </si>
  <si>
    <t xml:space="preserve">Failed jobs: the filters (job kind, module, date) are not tested (TC-187 covers retry and discard).</t>
  </si>
  <si>
    <t xml:space="preserve">Add filter tests.</t>
  </si>
  <si>
    <t xml:space="preserve">Test M01-TC-223.</t>
  </si>
  <si>
    <t xml:space="preserve">OI-57</t>
  </si>
  <si>
    <t xml:space="preserve">M01-AD-11-F06</t>
  </si>
  <si>
    <t xml:space="preserve">“Last daily run result (items deleted or anonymised)” has no column; retention_policies has none and schedules keeps only last_run_at / last_status for the whole job.</t>
  </si>
  <si>
    <t xml:space="preserve">Add a per-data-type run report table (run date, data type, deleted, anonymised).</t>
  </si>
  <si>
    <t xml:space="preserve">New table retention_run_results (M01-5 §10.4).</t>
  </si>
  <si>
    <t xml:space="preserve">OI-58</t>
  </si>
  <si>
    <t xml:space="preserve">M01-AD-11-F08</t>
  </si>
  <si>
    <t xml:space="preserve">The chip “To be confirmed with counsel” has no source column; “[TBC: final with counsel]” is only a note on period_days in M01-5.</t>
  </si>
  <si>
    <t xml:space="preserve">Add a boolean (e.g. to_be_confirmed) to retention_policies.</t>
  </si>
  <si>
    <t xml:space="preserve">retention_policies.to_be_confirmed added.</t>
  </si>
  <si>
    <t xml:space="preserve">OI-59</t>
  </si>
  <si>
    <t xml:space="preserve">M01-AD-11-F07</t>
  </si>
  <si>
    <t xml:space="preserve">The hold count per data type cannot be worked out as specified: legal_holds.scope_type (account, profile, listing, thread, trade, file, legal_order) does not map to retention data types (unattached_upload, closed_account, security_log …).</t>
  </si>
  <si>
    <t xml:space="preserve">Define the data type → scope type mapping, or count holds another way.</t>
  </si>
  <si>
    <t xml:space="preserve">Scope-to-data-type rule added to M01-5 §10.2.</t>
  </si>
  <si>
    <t xml:space="preserve">OI-60</t>
  </si>
  <si>
    <t xml:space="preserve">M01-AD-11-F10</t>
  </si>
  <si>
    <t xml:space="preserve">Retention policies: editing the action (delete / anonymise) and the legal basis is not tested (TC-188 changes periods only).</t>
  </si>
  <si>
    <t xml:space="preserve">Add tests for action and legal-basis changes.</t>
  </si>
  <si>
    <t xml:space="preserve">Test M01-TC-224.</t>
  </si>
  <si>
    <t xml:space="preserve">OI-61</t>
  </si>
  <si>
    <t xml:space="preserve">M01-AD-12-F07</t>
  </si>
  <si>
    <t xml:space="preserve">The Units tab shows “Helper only (yes / no)”, but units has no such column (code, type, base_unit, factor_to_base, is_state_based, label_key, active, version).</t>
  </si>
  <si>
    <t xml:space="preserve">Add is_helper_only to units.</t>
  </si>
  <si>
    <t xml:space="preserve">units.is_helper_only added.</t>
  </si>
  <si>
    <t xml:space="preserve">OI-62</t>
  </si>
  <si>
    <t xml:space="preserve">M01-AD-12-F13</t>
  </si>
  <si>
    <t xml:space="preserve">Helper units are “set per category and per viewer country” (UNT-008; setting units.helper_units), but countries.helper_units is per country only and the Helper units tab shows only “per viewer country”; the category dimension has no column.</t>
  </si>
  <si>
    <t xml:space="preserve">Add a category dimension (e.g. a helper-units table by category and country), or drop “per category” from UNT-008.</t>
  </si>
  <si>
    <t xml:space="preserve">Per viewer country only; “per category” removed from UNT-008.</t>
  </si>
  <si>
    <t xml:space="preserve">OI-63</t>
  </si>
  <si>
    <t xml:space="preserve">The Helper units tab has no endpoint: M01-3 §4.2 unit endpoints cover units and land units only, and countries.helper_units belongs to the Country table (whose PATCH is high impact for some fields).</t>
  </si>
  <si>
    <t xml:space="preserve">Add GET / PATCH endpoints for helper units under /v1/admin/units, with the “other” level.</t>
  </si>
  <si>
    <t xml:space="preserve">GET / PATCH /v1/admin/units/helper added (“other” level).</t>
  </si>
  <si>
    <t xml:space="preserve">OI-64</t>
  </si>
  <si>
    <t xml:space="preserve">M01-AD-12-F11</t>
  </si>
  <si>
    <t xml:space="preserve">“Add unit” has no fields, rules or errors in M01-6 §12.13, and no test (tests cover factor change, retire and state factors).</t>
  </si>
  <si>
    <t xml:space="preserve">Specify the Add unit form (code, type, standard unit, factor, state-based, helper only, name) and add a test.</t>
  </si>
  <si>
    <t xml:space="preserve">Add unit form specified in M01-6 §12.13; test M01-TC-226.</t>
  </si>
  <si>
    <t xml:space="preserve">OI-65</t>
  </si>
  <si>
    <t xml:space="preserve">M01-AD-14-F18</t>
  </si>
  <si>
    <t xml:space="preserve">Retiring a simple-list item needs a reason, but tags has no column for it (status only).</t>
  </si>
  <si>
    <t xml:space="preserve">Add retire_reason to tags, or state that the reason is kept only on the config version / audit record.</t>
  </si>
  <si>
    <t xml:space="preserve">OI-66</t>
  </si>
  <si>
    <t xml:space="preserve">M01-AD-14-F06</t>
  </si>
  <si>
    <t xml:space="preserve">tag_groups.status (active, retired) is shown and edited on no screen; groups cannot be added or removed on the Simple lists screen.</t>
  </si>
  <si>
    <t xml:space="preserve">Say how a group is retired (migration only) or drop the column.</t>
  </si>
  <si>
    <t xml:space="preserve">Groups are added or retired only with the module that uses them (migration).</t>
  </si>
  <si>
    <t xml:space="preserve">OI-67</t>
  </si>
  <si>
    <t xml:space="preserve">M01-AD-14-F07</t>
  </si>
  <si>
    <t xml:space="preserve">Simple lists: the active / retired / all filter, search by name or key, and Rename group are not tested.</t>
  </si>
  <si>
    <t xml:space="preserve">Add tests for filter, search and rename group.</t>
  </si>
  <si>
    <t xml:space="preserve">Test M01-TC-225.</t>
  </si>
  <si>
    <t xml:space="preserve">OI-68</t>
  </si>
  <si>
    <t xml:space="preserve">M01-6 §7 specifies a phone field (flag and country-code picker) and an address form (fields by country), and M01-4 builds PhoneInput and AddressForm, but they have no screen code in the register, so their fields are not in this map.</t>
  </si>
  <si>
    <t xml:space="preserve">Give them component codes (e.g. M01-S10, M01-S11) or state which module screens own them.</t>
  </si>
  <si>
    <t xml:space="preserve">New codes M01-S10 Phone number field and M01-S11 Address form.</t>
  </si>
</sst>
</file>

<file path=xl/styles.xml><?xml version="1.0" encoding="utf-8"?>
<styleSheet xmlns="http://schemas.openxmlformats.org/spreadsheetml/2006/main">
  <numFmts count="2">
    <numFmt numFmtId="164" formatCode="General"/>
    <numFmt numFmtId="165" formatCode="General"/>
  </numFmts>
  <fonts count="12">
    <font>
      <sz val="11"/>
      <color theme="1"/>
      <name val="Calibri"/>
      <family val="2"/>
      <charset val="1"/>
    </font>
    <font>
      <sz val="10"/>
      <name val="Arial"/>
      <family val="0"/>
    </font>
    <font>
      <sz val="10"/>
      <name val="Arial"/>
      <family val="0"/>
    </font>
    <font>
      <sz val="10"/>
      <name val="Arial"/>
      <family val="0"/>
    </font>
    <font>
      <b val="true"/>
      <sz val="15"/>
      <color rgb="FF3E2713"/>
      <name val="Calibri"/>
      <family val="0"/>
      <charset val="1"/>
    </font>
    <font>
      <i val="true"/>
      <sz val="11"/>
      <color rgb="FF595959"/>
      <name val="Calibri"/>
      <family val="0"/>
      <charset val="1"/>
    </font>
    <font>
      <b val="true"/>
      <sz val="11"/>
      <name val="Calibri"/>
      <family val="0"/>
      <charset val="1"/>
    </font>
    <font>
      <sz val="11"/>
      <name val="Calibri"/>
      <family val="0"/>
      <charset val="1"/>
    </font>
    <font>
      <b val="true"/>
      <sz val="12"/>
      <name val="Calibri"/>
      <family val="0"/>
      <charset val="1"/>
    </font>
    <font>
      <b val="true"/>
      <sz val="10"/>
      <color rgb="FFFFFFFF"/>
      <name val="Calibri"/>
      <family val="0"/>
      <charset val="1"/>
    </font>
    <font>
      <sz val="10"/>
      <name val="Calibri"/>
      <family val="0"/>
      <charset val="1"/>
    </font>
    <font>
      <b val="true"/>
      <sz val="10"/>
      <color rgb="FFA1260D"/>
      <name val="Calibri"/>
      <family val="0"/>
      <charset val="1"/>
    </font>
  </fonts>
  <fills count="9">
    <fill>
      <patternFill patternType="none"/>
    </fill>
    <fill>
      <patternFill patternType="gray125"/>
    </fill>
    <fill>
      <patternFill patternType="solid">
        <fgColor rgb="FF3E2713"/>
        <bgColor rgb="FF5B3A1E"/>
      </patternFill>
    </fill>
    <fill>
      <patternFill patternType="solid">
        <fgColor rgb="FF2B5F8A"/>
        <bgColor rgb="FF2F5D50"/>
      </patternFill>
    </fill>
    <fill>
      <patternFill patternType="solid">
        <fgColor rgb="FF2F5D50"/>
        <bgColor rgb="FF2B5F8A"/>
      </patternFill>
    </fill>
    <fill>
      <patternFill patternType="solid">
        <fgColor rgb="FF5B3A1E"/>
        <bgColor rgb="FF3E2713"/>
      </patternFill>
    </fill>
    <fill>
      <patternFill patternType="solid">
        <fgColor rgb="FF6B6B6B"/>
        <bgColor rgb="FF595959"/>
      </patternFill>
    </fill>
    <fill>
      <patternFill patternType="solid">
        <fgColor rgb="FFF5E6CC"/>
        <bgColor rgb="FFFFF6D6"/>
      </patternFill>
    </fill>
    <fill>
      <patternFill patternType="solid">
        <fgColor rgb="FFFFF6D6"/>
        <bgColor rgb="FFF5E6CC"/>
      </patternFill>
    </fill>
  </fills>
  <borders count="2">
    <border diagonalUp="false" diagonalDown="false">
      <left/>
      <right/>
      <top/>
      <bottom/>
      <diagonal/>
    </border>
    <border diagonalUp="false" diagonalDown="false">
      <left style="thin">
        <color rgb="FFD8CCB8"/>
      </left>
      <right style="thin">
        <color rgb="FFD8CCB8"/>
      </right>
      <top style="thin">
        <color rgb="FFD8CCB8"/>
      </top>
      <bottom style="thin">
        <color rgb="FFD8CCB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left" vertical="bottom" textRotation="0" wrapText="false" indent="0" shrinkToFit="false"/>
      <protection locked="true" hidden="false"/>
    </xf>
    <xf numFmtId="164" fontId="9" fillId="2"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11" fillId="7" borderId="1" xfId="0" applyFont="true" applyBorder="true" applyAlignment="true" applyProtection="false">
      <alignment horizontal="general" vertical="top" textRotation="0" wrapText="true" indent="0" shrinkToFit="false"/>
      <protection locked="true" hidden="false"/>
    </xf>
    <xf numFmtId="164" fontId="10" fillId="7" borderId="1" xfId="0" applyFont="true" applyBorder="true" applyAlignment="true" applyProtection="false">
      <alignment horizontal="general" vertical="top" textRotation="0" wrapText="true" indent="0" shrinkToFit="false"/>
      <protection locked="true" hidden="false"/>
    </xf>
    <xf numFmtId="164" fontId="10" fillId="8"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3E2713"/>
          <bgColor rgb="FF000000"/>
        </patternFill>
      </fill>
    </dxf>
    <dxf>
      <fill>
        <patternFill patternType="solid">
          <bgColor rgb="FF000000"/>
        </patternFill>
      </fill>
    </dxf>
    <dxf>
      <fill>
        <patternFill patternType="solid">
          <fgColor rgb="FFFFFFFF"/>
          <bgColor rgb="FF000000"/>
        </patternFill>
      </fill>
    </dxf>
    <dxf>
      <fill>
        <patternFill patternType="solid">
          <fgColor rgb="FFF5E6CC"/>
          <bgColor rgb="FF000000"/>
        </patternFill>
      </fill>
    </dxf>
    <dxf>
      <fill>
        <patternFill patternType="solid">
          <fgColor rgb="FFA1260D"/>
          <bgColor rgb="FF000000"/>
        </patternFill>
      </fill>
    </dxf>
    <dxf>
      <fill>
        <patternFill patternType="solid">
          <fgColor rgb="FF2B5F8A"/>
          <bgColor rgb="FF000000"/>
        </patternFill>
      </fill>
    </dxf>
    <dxf>
      <fill>
        <patternFill patternType="solid">
          <fgColor rgb="FF2F5D50"/>
          <bgColor rgb="FF000000"/>
        </patternFill>
      </fill>
    </dxf>
    <dxf>
      <fill>
        <patternFill patternType="solid">
          <fgColor rgb="FF5B3A1E"/>
          <bgColor rgb="FF000000"/>
        </patternFill>
      </fill>
    </dxf>
    <dxf>
      <fill>
        <patternFill patternType="solid">
          <fgColor rgb="FF6B6B6B"/>
          <bgColor rgb="FF000000"/>
        </patternFill>
      </fill>
    </dxf>
    <dxf>
      <fill>
        <patternFill patternType="solid">
          <fgColor rgb="FFFFF6D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8CCB8"/>
      <rgbColor rgb="FF595959"/>
      <rgbColor rgb="FF9999FF"/>
      <rgbColor rgb="FF993366"/>
      <rgbColor rgb="FFFFF6D6"/>
      <rgbColor rgb="FFCCFFFF"/>
      <rgbColor rgb="FF660066"/>
      <rgbColor rgb="FFFF8080"/>
      <rgbColor rgb="FF2B5F8A"/>
      <rgbColor rgb="FFCCCCFF"/>
      <rgbColor rgb="FF000080"/>
      <rgbColor rgb="FFFF00FF"/>
      <rgbColor rgb="FFFFFF00"/>
      <rgbColor rgb="FF00FFFF"/>
      <rgbColor rgb="FF800080"/>
      <rgbColor rgb="FF800000"/>
      <rgbColor rgb="FF008080"/>
      <rgbColor rgb="FF0000FF"/>
      <rgbColor rgb="FF00CCFF"/>
      <rgbColor rgb="FFCCFFFF"/>
      <rgbColor rgb="FFCCFFCC"/>
      <rgbColor rgb="FFF5E6CC"/>
      <rgbColor rgb="FF99CCFF"/>
      <rgbColor rgb="FFFF99CC"/>
      <rgbColor rgb="FFCC99FF"/>
      <rgbColor rgb="FFFFCC99"/>
      <rgbColor rgb="FF3366FF"/>
      <rgbColor rgb="FF33CCCC"/>
      <rgbColor rgb="FF99CC00"/>
      <rgbColor rgb="FFFFCC00"/>
      <rgbColor rgb="FFFF9900"/>
      <rgbColor rgb="FFFF6600"/>
      <rgbColor rgb="FF6B6B6B"/>
      <rgbColor rgb="FF969696"/>
      <rgbColor rgb="FF003366"/>
      <rgbColor rgb="FF339966"/>
      <rgbColor rgb="FF003300"/>
      <rgbColor rgb="FF3E2713"/>
      <rgbColor rgb="FFA1260D"/>
      <rgbColor rgb="FF993366"/>
      <rgbColor rgb="FF2F5D50"/>
      <rgbColor rgb="FF5B3A1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00"/>
  </cols>
  <sheetData>
    <row r="1" customFormat="false" ht="18.55" hidden="false" customHeight="false" outlineLevel="0" collapsed="false">
      <c r="A1" s="1" t="s">
        <v>0</v>
      </c>
    </row>
    <row r="2" customFormat="false" ht="15" hidden="false" customHeight="false" outlineLevel="0" collapsed="false">
      <c r="A2" s="2" t="s">
        <v>1</v>
      </c>
    </row>
    <row r="4" customFormat="false" ht="41.75" hidden="false" customHeight="false" outlineLevel="0" collapsed="false">
      <c r="A4" s="3" t="s">
        <v>2</v>
      </c>
      <c r="B4" s="4" t="s">
        <v>3</v>
      </c>
    </row>
    <row r="5" customFormat="false" ht="28.35" hidden="false" customHeight="false" outlineLevel="0" collapsed="false">
      <c r="A5" s="3" t="s">
        <v>4</v>
      </c>
      <c r="B5" s="4" t="s">
        <v>5</v>
      </c>
    </row>
    <row r="6" customFormat="false" ht="28.35" hidden="false" customHeight="false" outlineLevel="0" collapsed="false">
      <c r="A6" s="3" t="s">
        <v>6</v>
      </c>
      <c r="B6" s="4" t="s">
        <v>7</v>
      </c>
    </row>
    <row r="7" customFormat="false" ht="41.75" hidden="false" customHeight="false" outlineLevel="0" collapsed="false">
      <c r="A7" s="3" t="s">
        <v>8</v>
      </c>
      <c r="B7" s="4" t="s">
        <v>9</v>
      </c>
    </row>
    <row r="8" customFormat="false" ht="41.75" hidden="false" customHeight="false" outlineLevel="0" collapsed="false">
      <c r="A8" s="3" t="s">
        <v>10</v>
      </c>
      <c r="B8" s="4" t="s">
        <v>11</v>
      </c>
    </row>
    <row r="9" customFormat="false" ht="28.35" hidden="false" customHeight="false" outlineLevel="0" collapsed="false">
      <c r="A9" s="3" t="s">
        <v>12</v>
      </c>
      <c r="B9" s="4" t="s">
        <v>13</v>
      </c>
    </row>
    <row r="10" customFormat="false" ht="15" hidden="false" customHeight="false" outlineLevel="0" collapsed="false">
      <c r="A10" s="3" t="s">
        <v>14</v>
      </c>
      <c r="B10" s="4" t="s">
        <v>15</v>
      </c>
    </row>
    <row r="11" customFormat="false" ht="28.35" hidden="false" customHeight="false" outlineLevel="0" collapsed="false">
      <c r="A11" s="3" t="s">
        <v>16</v>
      </c>
      <c r="B11" s="4" t="s">
        <v>17</v>
      </c>
    </row>
    <row r="12" customFormat="false" ht="28.35" hidden="false" customHeight="false" outlineLevel="0" collapsed="false">
      <c r="A12" s="3" t="s">
        <v>18</v>
      </c>
      <c r="B12" s="4" t="s">
        <v>19</v>
      </c>
    </row>
    <row r="13" customFormat="false" ht="15" hidden="false" customHeight="false" outlineLevel="0" collapsed="false">
      <c r="A13" s="3" t="s">
        <v>20</v>
      </c>
      <c r="B13" s="4" t="s">
        <v>21</v>
      </c>
    </row>
    <row r="16" customFormat="false" ht="15" hidden="false" customHeight="false" outlineLevel="0" collapsed="false">
      <c r="A16" s="5" t="s">
        <v>22</v>
      </c>
    </row>
    <row r="17" customFormat="false" ht="15" hidden="false" customHeight="false" outlineLevel="0" collapsed="false">
      <c r="A17" s="6" t="s">
        <v>23</v>
      </c>
      <c r="B17" s="7" t="n">
        <f aca="false">COUNTA(Screens!A2:A27)</f>
        <v>26</v>
      </c>
    </row>
    <row r="18" customFormat="false" ht="15" hidden="false" customHeight="false" outlineLevel="0" collapsed="false">
      <c r="A18" s="6" t="s">
        <v>24</v>
      </c>
      <c r="B18" s="7" t="n">
        <f aca="false">COUNTA(Fields!A2:A400)</f>
        <v>399</v>
      </c>
    </row>
    <row r="19" customFormat="false" ht="15" hidden="false" customHeight="false" outlineLevel="0" collapsed="false">
      <c r="A19" s="6" t="s">
        <v>25</v>
      </c>
      <c r="B19" s="7" t="n">
        <f aca="false">COUNTIF('Open issues'!H2:H69,"Open")</f>
        <v>0</v>
      </c>
    </row>
    <row r="21" customFormat="false" ht="15" hidden="false" customHeight="false" outlineLevel="0" collapsed="false">
      <c r="A21" s="2" t="s">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20"/>
    <col collapsed="false" customWidth="true" hidden="false" outlineLevel="0" max="4" min="4" style="0" width="8"/>
    <col collapsed="false" customWidth="true" hidden="false" outlineLevel="0" max="5" min="5" style="0" width="34"/>
    <col collapsed="false" customWidth="true" hidden="false" outlineLevel="0" max="6" min="6" style="0" width="14"/>
    <col collapsed="false" customWidth="true" hidden="false" outlineLevel="0" max="7" min="7" style="0" width="30"/>
    <col collapsed="false" customWidth="true" hidden="false" outlineLevel="0" max="8" min="8" style="0" width="8"/>
    <col collapsed="false" customWidth="true" hidden="false" outlineLevel="0" max="9" min="9" style="0" width="9"/>
    <col collapsed="false" customWidth="true" hidden="false" outlineLevel="0" max="10" min="10" style="0" width="44"/>
    <col collapsed="false" customWidth="true" hidden="false" outlineLevel="0" max="11" min="11" style="0" width="34"/>
    <col collapsed="false" customWidth="true" hidden="false" outlineLevel="0" max="12" min="12" style="0" width="30"/>
    <col collapsed="false" customWidth="true" hidden="false" outlineLevel="0" max="13" min="13" style="0" width="26"/>
  </cols>
  <sheetData>
    <row r="1" customFormat="false" ht="23.85" hidden="false" customHeight="false" outlineLevel="0" collapsed="false">
      <c r="A1" s="8" t="s">
        <v>27</v>
      </c>
      <c r="B1" s="8" t="s">
        <v>28</v>
      </c>
      <c r="C1" s="8" t="s">
        <v>29</v>
      </c>
      <c r="D1" s="8" t="s">
        <v>30</v>
      </c>
      <c r="E1" s="8" t="s">
        <v>31</v>
      </c>
      <c r="F1" s="8" t="s">
        <v>32</v>
      </c>
      <c r="G1" s="8" t="s">
        <v>33</v>
      </c>
      <c r="H1" s="8" t="s">
        <v>24</v>
      </c>
      <c r="I1" s="8" t="s">
        <v>25</v>
      </c>
      <c r="J1" s="8" t="s">
        <v>34</v>
      </c>
      <c r="K1" s="8" t="s">
        <v>35</v>
      </c>
      <c r="L1" s="8" t="s">
        <v>36</v>
      </c>
      <c r="M1" s="8" t="s">
        <v>37</v>
      </c>
    </row>
    <row r="2" customFormat="false" ht="68.65" hidden="false" customHeight="false" outlineLevel="0" collapsed="false">
      <c r="A2" s="9" t="s">
        <v>38</v>
      </c>
      <c r="B2" s="9" t="s">
        <v>39</v>
      </c>
      <c r="C2" s="9" t="s">
        <v>39</v>
      </c>
      <c r="D2" s="9" t="s">
        <v>40</v>
      </c>
      <c r="E2" s="9" t="s">
        <v>41</v>
      </c>
      <c r="F2" s="9" t="s">
        <v>42</v>
      </c>
      <c r="G2" s="9" t="s">
        <v>43</v>
      </c>
      <c r="H2" s="9" t="n">
        <f aca="false">COUNTIF(Fields!$B$2:$B$400,A2)</f>
        <v>87</v>
      </c>
      <c r="I2" s="9" t="n">
        <f aca="false">COUNTIF('Open issues'!$C$2:$C$69,A2)</f>
        <v>6</v>
      </c>
      <c r="J2" s="9" t="s">
        <v>44</v>
      </c>
      <c r="K2" s="9" t="s">
        <v>45</v>
      </c>
      <c r="L2" s="9" t="s">
        <v>46</v>
      </c>
      <c r="M2" s="9" t="s">
        <v>47</v>
      </c>
    </row>
    <row r="3" customFormat="false" ht="124.6" hidden="false" customHeight="false" outlineLevel="0" collapsed="false">
      <c r="A3" s="9" t="s">
        <v>48</v>
      </c>
      <c r="B3" s="9" t="s">
        <v>49</v>
      </c>
      <c r="C3" s="9" t="s">
        <v>50</v>
      </c>
      <c r="D3" s="9" t="s">
        <v>40</v>
      </c>
      <c r="E3" s="9" t="s">
        <v>51</v>
      </c>
      <c r="F3" s="9" t="s">
        <v>52</v>
      </c>
      <c r="G3" s="9" t="s">
        <v>53</v>
      </c>
      <c r="H3" s="9" t="n">
        <f aca="false">COUNTIF(Fields!$B$2:$B$400,A3)</f>
        <v>20</v>
      </c>
      <c r="I3" s="9" t="n">
        <f aca="false">COUNTIF('Open issues'!$C$2:$C$69,A3)</f>
        <v>2</v>
      </c>
      <c r="J3" s="9" t="s">
        <v>54</v>
      </c>
      <c r="K3" s="9" t="s">
        <v>55</v>
      </c>
      <c r="L3" s="9" t="s">
        <v>56</v>
      </c>
      <c r="M3" s="9" t="s">
        <v>57</v>
      </c>
    </row>
    <row r="4" customFormat="false" ht="113.4" hidden="false" customHeight="false" outlineLevel="0" collapsed="false">
      <c r="A4" s="9" t="s">
        <v>58</v>
      </c>
      <c r="B4" s="9" t="s">
        <v>59</v>
      </c>
      <c r="C4" s="9" t="s">
        <v>59</v>
      </c>
      <c r="D4" s="9" t="s">
        <v>40</v>
      </c>
      <c r="E4" s="9" t="s">
        <v>60</v>
      </c>
      <c r="F4" s="9" t="s">
        <v>61</v>
      </c>
      <c r="G4" s="9" t="s">
        <v>62</v>
      </c>
      <c r="H4" s="9" t="n">
        <f aca="false">COUNTIF(Fields!$B$2:$B$400,A4)</f>
        <v>43</v>
      </c>
      <c r="I4" s="9" t="n">
        <f aca="false">COUNTIF('Open issues'!$C$2:$C$69,A4)</f>
        <v>7</v>
      </c>
      <c r="J4" s="9" t="s">
        <v>63</v>
      </c>
      <c r="K4" s="9" t="s">
        <v>64</v>
      </c>
      <c r="L4" s="9" t="s">
        <v>65</v>
      </c>
      <c r="M4" s="9" t="s">
        <v>66</v>
      </c>
    </row>
    <row r="5" customFormat="false" ht="79.85" hidden="false" customHeight="false" outlineLevel="0" collapsed="false">
      <c r="A5" s="9" t="s">
        <v>67</v>
      </c>
      <c r="B5" s="9" t="s">
        <v>68</v>
      </c>
      <c r="C5" s="9" t="s">
        <v>68</v>
      </c>
      <c r="D5" s="9" t="s">
        <v>40</v>
      </c>
      <c r="E5" s="9" t="s">
        <v>69</v>
      </c>
      <c r="F5" s="9" t="s">
        <v>70</v>
      </c>
      <c r="G5" s="9" t="s">
        <v>71</v>
      </c>
      <c r="H5" s="9" t="n">
        <f aca="false">COUNTIF(Fields!$B$2:$B$400,A5)</f>
        <v>17</v>
      </c>
      <c r="I5" s="9" t="n">
        <f aca="false">COUNTIF('Open issues'!$C$2:$C$69,A5)</f>
        <v>3</v>
      </c>
      <c r="J5" s="9" t="s">
        <v>72</v>
      </c>
      <c r="K5" s="9" t="s">
        <v>73</v>
      </c>
      <c r="L5" s="9" t="s">
        <v>74</v>
      </c>
      <c r="M5" s="9" t="s">
        <v>75</v>
      </c>
    </row>
    <row r="6" customFormat="false" ht="79.85" hidden="false" customHeight="false" outlineLevel="0" collapsed="false">
      <c r="A6" s="9" t="s">
        <v>76</v>
      </c>
      <c r="B6" s="9" t="s">
        <v>77</v>
      </c>
      <c r="C6" s="9" t="s">
        <v>77</v>
      </c>
      <c r="D6" s="9" t="s">
        <v>40</v>
      </c>
      <c r="E6" s="9" t="s">
        <v>78</v>
      </c>
      <c r="F6" s="9" t="s">
        <v>79</v>
      </c>
      <c r="G6" s="9" t="s">
        <v>80</v>
      </c>
      <c r="H6" s="9" t="n">
        <f aca="false">COUNTIF(Fields!$B$2:$B$400,A6)</f>
        <v>11</v>
      </c>
      <c r="I6" s="9" t="n">
        <f aca="false">COUNTIF('Open issues'!$C$2:$C$69,A6)</f>
        <v>2</v>
      </c>
      <c r="J6" s="9" t="s">
        <v>81</v>
      </c>
      <c r="K6" s="9" t="s">
        <v>73</v>
      </c>
      <c r="L6" s="9" t="s">
        <v>82</v>
      </c>
      <c r="M6" s="9" t="s">
        <v>83</v>
      </c>
    </row>
    <row r="7" customFormat="false" ht="68.65" hidden="false" customHeight="false" outlineLevel="0" collapsed="false">
      <c r="A7" s="9" t="s">
        <v>84</v>
      </c>
      <c r="B7" s="9" t="s">
        <v>85</v>
      </c>
      <c r="C7" s="9" t="s">
        <v>85</v>
      </c>
      <c r="D7" s="9" t="s">
        <v>40</v>
      </c>
      <c r="E7" s="9" t="s">
        <v>86</v>
      </c>
      <c r="F7" s="9" t="s">
        <v>87</v>
      </c>
      <c r="G7" s="9" t="s">
        <v>88</v>
      </c>
      <c r="H7" s="9" t="n">
        <f aca="false">COUNTIF(Fields!$B$2:$B$400,A7)</f>
        <v>10</v>
      </c>
      <c r="I7" s="9" t="n">
        <f aca="false">COUNTIF('Open issues'!$C$2:$C$69,A7)</f>
        <v>6</v>
      </c>
      <c r="J7" s="9" t="s">
        <v>89</v>
      </c>
      <c r="K7" s="9" t="s">
        <v>45</v>
      </c>
      <c r="L7" s="9" t="s">
        <v>90</v>
      </c>
      <c r="M7" s="9" t="s">
        <v>91</v>
      </c>
    </row>
    <row r="8" customFormat="false" ht="57.45" hidden="false" customHeight="false" outlineLevel="0" collapsed="false">
      <c r="A8" s="9" t="s">
        <v>92</v>
      </c>
      <c r="B8" s="9" t="s">
        <v>93</v>
      </c>
      <c r="C8" s="9" t="s">
        <v>94</v>
      </c>
      <c r="D8" s="9" t="s">
        <v>40</v>
      </c>
      <c r="E8" s="9" t="s">
        <v>95</v>
      </c>
      <c r="F8" s="9" t="s">
        <v>96</v>
      </c>
      <c r="G8" s="9" t="s">
        <v>97</v>
      </c>
      <c r="H8" s="9" t="n">
        <f aca="false">COUNTIF(Fields!$B$2:$B$400,A8)</f>
        <v>13</v>
      </c>
      <c r="I8" s="9" t="n">
        <f aca="false">COUNTIF('Open issues'!$C$2:$C$69,A8)</f>
        <v>3</v>
      </c>
      <c r="J8" s="9" t="s">
        <v>98</v>
      </c>
      <c r="K8" s="9" t="s">
        <v>73</v>
      </c>
      <c r="L8" s="9" t="s">
        <v>99</v>
      </c>
      <c r="M8" s="9" t="s">
        <v>100</v>
      </c>
    </row>
    <row r="9" customFormat="false" ht="35.05" hidden="false" customHeight="false" outlineLevel="0" collapsed="false">
      <c r="A9" s="9" t="s">
        <v>101</v>
      </c>
      <c r="B9" s="9" t="s">
        <v>102</v>
      </c>
      <c r="C9" s="9" t="s">
        <v>103</v>
      </c>
      <c r="D9" s="9" t="s">
        <v>40</v>
      </c>
      <c r="E9" s="9" t="s">
        <v>104</v>
      </c>
      <c r="F9" s="9" t="s">
        <v>105</v>
      </c>
      <c r="G9" s="9" t="s">
        <v>106</v>
      </c>
      <c r="H9" s="9" t="n">
        <f aca="false">COUNTIF(Fields!$B$2:$B$400,A9)</f>
        <v>15</v>
      </c>
      <c r="I9" s="9" t="n">
        <f aca="false">COUNTIF('Open issues'!$C$2:$C$69,A9)</f>
        <v>1</v>
      </c>
      <c r="J9" s="9" t="s">
        <v>107</v>
      </c>
      <c r="K9" s="9" t="s">
        <v>108</v>
      </c>
      <c r="L9" s="9" t="s">
        <v>109</v>
      </c>
      <c r="M9" s="9" t="s">
        <v>110</v>
      </c>
    </row>
    <row r="10" customFormat="false" ht="68.65" hidden="false" customHeight="false" outlineLevel="0" collapsed="false">
      <c r="A10" s="9" t="s">
        <v>111</v>
      </c>
      <c r="B10" s="9" t="s">
        <v>112</v>
      </c>
      <c r="C10" s="9" t="s">
        <v>113</v>
      </c>
      <c r="D10" s="9" t="s">
        <v>40</v>
      </c>
      <c r="E10" s="9" t="s">
        <v>114</v>
      </c>
      <c r="F10" s="9" t="s">
        <v>115</v>
      </c>
      <c r="G10" s="9" t="s">
        <v>116</v>
      </c>
      <c r="H10" s="9" t="n">
        <f aca="false">COUNTIF(Fields!$B$2:$B$400,A10)</f>
        <v>20</v>
      </c>
      <c r="I10" s="9" t="n">
        <f aca="false">COUNTIF('Open issues'!$C$2:$C$69,A10)</f>
        <v>2</v>
      </c>
      <c r="J10" s="9" t="s">
        <v>117</v>
      </c>
      <c r="K10" s="9" t="s">
        <v>118</v>
      </c>
      <c r="L10" s="9" t="s">
        <v>119</v>
      </c>
      <c r="M10" s="9" t="s">
        <v>120</v>
      </c>
    </row>
    <row r="11" customFormat="false" ht="57.45" hidden="false" customHeight="false" outlineLevel="0" collapsed="false">
      <c r="A11" s="9" t="s">
        <v>121</v>
      </c>
      <c r="B11" s="9" t="s">
        <v>122</v>
      </c>
      <c r="C11" s="9" t="s">
        <v>122</v>
      </c>
      <c r="D11" s="9" t="s">
        <v>40</v>
      </c>
      <c r="E11" s="9" t="s">
        <v>123</v>
      </c>
      <c r="F11" s="9" t="s">
        <v>124</v>
      </c>
      <c r="G11" s="9" t="s">
        <v>125</v>
      </c>
      <c r="H11" s="9" t="n">
        <f aca="false">COUNTIF(Fields!$B$2:$B$400,A11)</f>
        <v>16</v>
      </c>
      <c r="I11" s="9" t="n">
        <f aca="false">COUNTIF('Open issues'!$C$2:$C$69,A11)</f>
        <v>5</v>
      </c>
      <c r="J11" s="9" t="s">
        <v>126</v>
      </c>
      <c r="K11" s="9" t="s">
        <v>127</v>
      </c>
      <c r="L11" s="9" t="s">
        <v>128</v>
      </c>
      <c r="M11" s="9" t="s">
        <v>129</v>
      </c>
    </row>
    <row r="12" customFormat="false" ht="46.25" hidden="false" customHeight="false" outlineLevel="0" collapsed="false">
      <c r="A12" s="9" t="s">
        <v>130</v>
      </c>
      <c r="B12" s="9" t="s">
        <v>131</v>
      </c>
      <c r="C12" s="9" t="s">
        <v>131</v>
      </c>
      <c r="D12" s="9" t="s">
        <v>40</v>
      </c>
      <c r="E12" s="9" t="s">
        <v>132</v>
      </c>
      <c r="F12" s="9" t="s">
        <v>133</v>
      </c>
      <c r="G12" s="9" t="s">
        <v>134</v>
      </c>
      <c r="H12" s="9" t="n">
        <f aca="false">COUNTIF(Fields!$B$2:$B$400,A12)</f>
        <v>11</v>
      </c>
      <c r="I12" s="9" t="n">
        <f aca="false">COUNTIF('Open issues'!$C$2:$C$69,A12)</f>
        <v>4</v>
      </c>
      <c r="J12" s="9" t="s">
        <v>135</v>
      </c>
      <c r="K12" s="9" t="s">
        <v>136</v>
      </c>
      <c r="L12" s="9" t="s">
        <v>137</v>
      </c>
      <c r="M12" s="9" t="s">
        <v>138</v>
      </c>
    </row>
    <row r="13" customFormat="false" ht="135.8" hidden="false" customHeight="false" outlineLevel="0" collapsed="false">
      <c r="A13" s="9" t="s">
        <v>139</v>
      </c>
      <c r="B13" s="9" t="s">
        <v>140</v>
      </c>
      <c r="C13" s="9" t="s">
        <v>141</v>
      </c>
      <c r="D13" s="9" t="s">
        <v>40</v>
      </c>
      <c r="E13" s="9" t="s">
        <v>142</v>
      </c>
      <c r="F13" s="9" t="s">
        <v>143</v>
      </c>
      <c r="G13" s="9" t="s">
        <v>144</v>
      </c>
      <c r="H13" s="9" t="n">
        <f aca="false">COUNTIF(Fields!$B$2:$B$400,A13)</f>
        <v>28</v>
      </c>
      <c r="I13" s="9" t="n">
        <f aca="false">COUNTIF('Open issues'!$C$2:$C$69,A13)</f>
        <v>4</v>
      </c>
      <c r="J13" s="9" t="s">
        <v>145</v>
      </c>
      <c r="K13" s="9" t="s">
        <v>146</v>
      </c>
      <c r="L13" s="9" t="s">
        <v>147</v>
      </c>
      <c r="M13" s="9" t="s">
        <v>148</v>
      </c>
    </row>
    <row r="14" customFormat="false" ht="35.05" hidden="false" customHeight="false" outlineLevel="0" collapsed="false">
      <c r="A14" s="9" t="s">
        <v>149</v>
      </c>
      <c r="B14" s="9" t="s">
        <v>150</v>
      </c>
      <c r="C14" s="9" t="s">
        <v>151</v>
      </c>
      <c r="D14" s="9" t="s">
        <v>40</v>
      </c>
      <c r="E14" s="9" t="s">
        <v>152</v>
      </c>
      <c r="F14" s="9" t="s">
        <v>153</v>
      </c>
      <c r="G14" s="9" t="s">
        <v>106</v>
      </c>
      <c r="H14" s="9" t="n">
        <f aca="false">COUNTIF(Fields!$B$2:$B$400,A14)</f>
        <v>5</v>
      </c>
      <c r="I14" s="9" t="n">
        <f aca="false">COUNTIF('Open issues'!$C$2:$C$69,A14)</f>
        <v>0</v>
      </c>
      <c r="J14" s="9" t="s">
        <v>154</v>
      </c>
      <c r="K14" s="9" t="s">
        <v>155</v>
      </c>
      <c r="L14" s="9" t="s">
        <v>156</v>
      </c>
      <c r="M14" s="9" t="s">
        <v>157</v>
      </c>
    </row>
    <row r="15" customFormat="false" ht="102.2" hidden="false" customHeight="false" outlineLevel="0" collapsed="false">
      <c r="A15" s="9" t="s">
        <v>158</v>
      </c>
      <c r="B15" s="9" t="s">
        <v>159</v>
      </c>
      <c r="C15" s="9" t="s">
        <v>159</v>
      </c>
      <c r="D15" s="9" t="s">
        <v>40</v>
      </c>
      <c r="E15" s="9" t="s">
        <v>160</v>
      </c>
      <c r="F15" s="9" t="s">
        <v>161</v>
      </c>
      <c r="G15" s="9" t="s">
        <v>162</v>
      </c>
      <c r="H15" s="9" t="n">
        <f aca="false">COUNTIF(Fields!$B$2:$B$400,A15)</f>
        <v>18</v>
      </c>
      <c r="I15" s="9" t="n">
        <f aca="false">COUNTIF('Open issues'!$C$2:$C$69,A15)</f>
        <v>3</v>
      </c>
      <c r="J15" s="9" t="s">
        <v>163</v>
      </c>
      <c r="K15" s="9" t="s">
        <v>164</v>
      </c>
      <c r="L15" s="9" t="s">
        <v>165</v>
      </c>
      <c r="M15" s="9" t="s">
        <v>166</v>
      </c>
    </row>
    <row r="16" customFormat="false" ht="35.05" hidden="false" customHeight="false" outlineLevel="0" collapsed="false">
      <c r="A16" s="9" t="s">
        <v>167</v>
      </c>
      <c r="B16" s="9" t="s">
        <v>168</v>
      </c>
      <c r="C16" s="9" t="s">
        <v>169</v>
      </c>
      <c r="D16" s="9" t="s">
        <v>40</v>
      </c>
      <c r="E16" s="9" t="s">
        <v>170</v>
      </c>
      <c r="F16" s="9" t="s">
        <v>171</v>
      </c>
      <c r="G16" s="9" t="s">
        <v>106</v>
      </c>
      <c r="H16" s="9" t="n">
        <f aca="false">COUNTIF(Fields!$B$2:$B$400,A16)</f>
        <v>9</v>
      </c>
      <c r="I16" s="9" t="n">
        <f aca="false">COUNTIF('Open issues'!$C$2:$C$69,A16)</f>
        <v>0</v>
      </c>
      <c r="J16" s="9" t="s">
        <v>172</v>
      </c>
      <c r="K16" s="9" t="s">
        <v>173</v>
      </c>
      <c r="L16" s="9" t="s">
        <v>174</v>
      </c>
      <c r="M16" s="9" t="s">
        <v>175</v>
      </c>
    </row>
    <row r="17" customFormat="false" ht="124.6" hidden="false" customHeight="false" outlineLevel="0" collapsed="false">
      <c r="A17" s="9" t="s">
        <v>176</v>
      </c>
      <c r="B17" s="9" t="s">
        <v>177</v>
      </c>
      <c r="C17" s="9" t="s">
        <v>106</v>
      </c>
      <c r="D17" s="9" t="s">
        <v>178</v>
      </c>
      <c r="E17" s="9" t="s">
        <v>179</v>
      </c>
      <c r="F17" s="9" t="s">
        <v>180</v>
      </c>
      <c r="G17" s="9" t="s">
        <v>106</v>
      </c>
      <c r="H17" s="9" t="n">
        <f aca="false">COUNTIF(Fields!$B$2:$B$400,A17)</f>
        <v>19</v>
      </c>
      <c r="I17" s="9" t="n">
        <f aca="false">COUNTIF('Open issues'!$C$2:$C$69,A17)</f>
        <v>4</v>
      </c>
      <c r="J17" s="9" t="s">
        <v>181</v>
      </c>
      <c r="K17" s="9" t="s">
        <v>182</v>
      </c>
      <c r="L17" s="9" t="s">
        <v>183</v>
      </c>
      <c r="M17" s="9" t="s">
        <v>184</v>
      </c>
    </row>
    <row r="18" customFormat="false" ht="57.45" hidden="false" customHeight="false" outlineLevel="0" collapsed="false">
      <c r="A18" s="9" t="s">
        <v>185</v>
      </c>
      <c r="B18" s="9" t="s">
        <v>186</v>
      </c>
      <c r="C18" s="9" t="s">
        <v>106</v>
      </c>
      <c r="D18" s="9" t="s">
        <v>178</v>
      </c>
      <c r="E18" s="9" t="s">
        <v>179</v>
      </c>
      <c r="F18" s="9" t="s">
        <v>187</v>
      </c>
      <c r="G18" s="9" t="s">
        <v>106</v>
      </c>
      <c r="H18" s="9" t="n">
        <f aca="false">COUNTIF(Fields!$B$2:$B$400,A18)</f>
        <v>8</v>
      </c>
      <c r="I18" s="9" t="n">
        <f aca="false">COUNTIF('Open issues'!$C$2:$C$69,A18)</f>
        <v>4</v>
      </c>
      <c r="J18" s="9" t="s">
        <v>188</v>
      </c>
      <c r="K18" s="9" t="s">
        <v>189</v>
      </c>
      <c r="L18" s="9" t="s">
        <v>190</v>
      </c>
      <c r="M18" s="9" t="s">
        <v>191</v>
      </c>
    </row>
    <row r="19" customFormat="false" ht="57.45" hidden="false" customHeight="false" outlineLevel="0" collapsed="false">
      <c r="A19" s="9" t="s">
        <v>192</v>
      </c>
      <c r="B19" s="9" t="s">
        <v>193</v>
      </c>
      <c r="C19" s="9" t="s">
        <v>106</v>
      </c>
      <c r="D19" s="9" t="s">
        <v>178</v>
      </c>
      <c r="E19" s="9" t="s">
        <v>194</v>
      </c>
      <c r="F19" s="9" t="s">
        <v>195</v>
      </c>
      <c r="G19" s="9" t="s">
        <v>106</v>
      </c>
      <c r="H19" s="9" t="n">
        <f aca="false">COUNTIF(Fields!$B$2:$B$400,A19)</f>
        <v>5</v>
      </c>
      <c r="I19" s="9" t="n">
        <f aca="false">COUNTIF('Open issues'!$C$2:$C$69,A19)</f>
        <v>1</v>
      </c>
      <c r="J19" s="9" t="s">
        <v>196</v>
      </c>
      <c r="K19" s="9" t="s">
        <v>197</v>
      </c>
      <c r="L19" s="9" t="s">
        <v>198</v>
      </c>
      <c r="M19" s="9" t="s">
        <v>199</v>
      </c>
    </row>
    <row r="20" customFormat="false" ht="68.65" hidden="false" customHeight="false" outlineLevel="0" collapsed="false">
      <c r="A20" s="9" t="s">
        <v>200</v>
      </c>
      <c r="B20" s="9" t="s">
        <v>201</v>
      </c>
      <c r="C20" s="9" t="s">
        <v>106</v>
      </c>
      <c r="D20" s="9" t="s">
        <v>178</v>
      </c>
      <c r="E20" s="9" t="s">
        <v>202</v>
      </c>
      <c r="F20" s="9" t="s">
        <v>203</v>
      </c>
      <c r="G20" s="9" t="s">
        <v>106</v>
      </c>
      <c r="H20" s="9" t="n">
        <f aca="false">COUNTIF(Fields!$B$2:$B$400,A20)</f>
        <v>10</v>
      </c>
      <c r="I20" s="9" t="n">
        <f aca="false">COUNTIF('Open issues'!$C$2:$C$69,A20)</f>
        <v>0</v>
      </c>
      <c r="J20" s="9" t="s">
        <v>204</v>
      </c>
      <c r="K20" s="9" t="s">
        <v>205</v>
      </c>
      <c r="L20" s="9" t="s">
        <v>206</v>
      </c>
      <c r="M20" s="9" t="s">
        <v>207</v>
      </c>
    </row>
    <row r="21" customFormat="false" ht="46.25" hidden="false" customHeight="false" outlineLevel="0" collapsed="false">
      <c r="A21" s="9" t="s">
        <v>208</v>
      </c>
      <c r="B21" s="9" t="s">
        <v>209</v>
      </c>
      <c r="C21" s="9" t="s">
        <v>106</v>
      </c>
      <c r="D21" s="9" t="s">
        <v>178</v>
      </c>
      <c r="E21" s="9" t="s">
        <v>210</v>
      </c>
      <c r="F21" s="9" t="s">
        <v>211</v>
      </c>
      <c r="G21" s="9" t="s">
        <v>106</v>
      </c>
      <c r="H21" s="9" t="n">
        <f aca="false">COUNTIF(Fields!$B$2:$B$400,A21)</f>
        <v>5</v>
      </c>
      <c r="I21" s="9" t="n">
        <f aca="false">COUNTIF('Open issues'!$C$2:$C$69,A21)</f>
        <v>2</v>
      </c>
      <c r="J21" s="9" t="s">
        <v>212</v>
      </c>
      <c r="K21" s="9" t="s">
        <v>213</v>
      </c>
      <c r="L21" s="9" t="s">
        <v>214</v>
      </c>
      <c r="M21" s="9" t="s">
        <v>215</v>
      </c>
    </row>
    <row r="22" customFormat="false" ht="57.45" hidden="false" customHeight="false" outlineLevel="0" collapsed="false">
      <c r="A22" s="9" t="s">
        <v>216</v>
      </c>
      <c r="B22" s="9" t="s">
        <v>217</v>
      </c>
      <c r="C22" s="9" t="s">
        <v>106</v>
      </c>
      <c r="D22" s="9" t="s">
        <v>178</v>
      </c>
      <c r="E22" s="9" t="s">
        <v>218</v>
      </c>
      <c r="F22" s="9" t="s">
        <v>219</v>
      </c>
      <c r="G22" s="9" t="s">
        <v>106</v>
      </c>
      <c r="H22" s="9" t="n">
        <f aca="false">COUNTIF(Fields!$B$2:$B$400,A22)</f>
        <v>7</v>
      </c>
      <c r="I22" s="9" t="n">
        <f aca="false">COUNTIF('Open issues'!$C$2:$C$69,A22)</f>
        <v>2</v>
      </c>
      <c r="J22" s="9" t="s">
        <v>220</v>
      </c>
      <c r="K22" s="9" t="s">
        <v>221</v>
      </c>
      <c r="L22" s="9" t="s">
        <v>222</v>
      </c>
      <c r="M22" s="9" t="s">
        <v>223</v>
      </c>
    </row>
    <row r="23" customFormat="false" ht="46.25" hidden="false" customHeight="false" outlineLevel="0" collapsed="false">
      <c r="A23" s="9" t="s">
        <v>224</v>
      </c>
      <c r="B23" s="9" t="s">
        <v>225</v>
      </c>
      <c r="C23" s="9" t="s">
        <v>106</v>
      </c>
      <c r="D23" s="9" t="s">
        <v>178</v>
      </c>
      <c r="E23" s="9" t="s">
        <v>226</v>
      </c>
      <c r="F23" s="9" t="s">
        <v>227</v>
      </c>
      <c r="G23" s="9" t="s">
        <v>106</v>
      </c>
      <c r="H23" s="9" t="n">
        <f aca="false">COUNTIF(Fields!$B$2:$B$400,A23)</f>
        <v>9</v>
      </c>
      <c r="I23" s="9" t="n">
        <f aca="false">COUNTIF('Open issues'!$C$2:$C$69,A23)</f>
        <v>4</v>
      </c>
      <c r="J23" s="9" t="s">
        <v>228</v>
      </c>
      <c r="K23" s="9" t="s">
        <v>229</v>
      </c>
      <c r="L23" s="9" t="s">
        <v>230</v>
      </c>
      <c r="M23" s="9" t="s">
        <v>231</v>
      </c>
    </row>
    <row r="24" customFormat="false" ht="35.05" hidden="false" customHeight="false" outlineLevel="0" collapsed="false">
      <c r="A24" s="9" t="s">
        <v>232</v>
      </c>
      <c r="B24" s="9" t="s">
        <v>233</v>
      </c>
      <c r="C24" s="9" t="s">
        <v>106</v>
      </c>
      <c r="D24" s="9" t="s">
        <v>178</v>
      </c>
      <c r="E24" s="9" t="s">
        <v>234</v>
      </c>
      <c r="F24" s="9" t="s">
        <v>235</v>
      </c>
      <c r="G24" s="9" t="s">
        <v>106</v>
      </c>
      <c r="H24" s="9" t="n">
        <f aca="false">COUNTIF(Fields!$B$2:$B$400,A24)</f>
        <v>1</v>
      </c>
      <c r="I24" s="9" t="n">
        <f aca="false">COUNTIF('Open issues'!$C$2:$C$69,A24)</f>
        <v>0</v>
      </c>
      <c r="J24" s="9" t="s">
        <v>236</v>
      </c>
      <c r="K24" s="9" t="s">
        <v>237</v>
      </c>
      <c r="L24" s="9" t="s">
        <v>106</v>
      </c>
      <c r="M24" s="9" t="s">
        <v>238</v>
      </c>
    </row>
    <row r="25" customFormat="false" ht="23.85" hidden="false" customHeight="false" outlineLevel="0" collapsed="false">
      <c r="A25" s="9" t="s">
        <v>239</v>
      </c>
      <c r="B25" s="9" t="s">
        <v>240</v>
      </c>
      <c r="C25" s="9" t="s">
        <v>106</v>
      </c>
      <c r="D25" s="9" t="s">
        <v>178</v>
      </c>
      <c r="E25" s="9" t="s">
        <v>241</v>
      </c>
      <c r="F25" s="9" t="s">
        <v>242</v>
      </c>
      <c r="G25" s="9" t="s">
        <v>106</v>
      </c>
      <c r="H25" s="9" t="n">
        <f aca="false">COUNTIF(Fields!$B$2:$B$400,A25)</f>
        <v>7</v>
      </c>
      <c r="I25" s="9" t="n">
        <f aca="false">COUNTIF('Open issues'!$C$2:$C$69,A25)</f>
        <v>2</v>
      </c>
      <c r="J25" s="9" t="s">
        <v>243</v>
      </c>
      <c r="K25" s="9" t="s">
        <v>244</v>
      </c>
      <c r="L25" s="9" t="s">
        <v>245</v>
      </c>
      <c r="M25" s="9" t="s">
        <v>246</v>
      </c>
    </row>
    <row r="26" customFormat="false" ht="23.85" hidden="false" customHeight="false" outlineLevel="0" collapsed="false">
      <c r="A26" s="9" t="s">
        <v>247</v>
      </c>
      <c r="B26" s="9" t="s">
        <v>248</v>
      </c>
      <c r="C26" s="9" t="s">
        <v>106</v>
      </c>
      <c r="D26" s="9" t="s">
        <v>178</v>
      </c>
      <c r="E26" s="9" t="s">
        <v>249</v>
      </c>
      <c r="F26" s="9" t="s">
        <v>250</v>
      </c>
      <c r="G26" s="9" t="s">
        <v>106</v>
      </c>
      <c r="H26" s="9" t="n">
        <f aca="false">COUNTIF(Fields!$B$2:$B$400,A26)</f>
        <v>2</v>
      </c>
      <c r="I26" s="9" t="n">
        <f aca="false">COUNTIF('Open issues'!$C$2:$C$69,A26)</f>
        <v>0</v>
      </c>
      <c r="J26" s="9" t="s">
        <v>251</v>
      </c>
      <c r="K26" s="9" t="s">
        <v>252</v>
      </c>
      <c r="L26" s="9" t="s">
        <v>230</v>
      </c>
      <c r="M26" s="9" t="s">
        <v>253</v>
      </c>
    </row>
    <row r="27" customFormat="false" ht="23.85" hidden="false" customHeight="false" outlineLevel="0" collapsed="false">
      <c r="A27" s="9" t="s">
        <v>254</v>
      </c>
      <c r="B27" s="9" t="s">
        <v>255</v>
      </c>
      <c r="C27" s="9" t="s">
        <v>106</v>
      </c>
      <c r="D27" s="9" t="s">
        <v>178</v>
      </c>
      <c r="E27" s="9" t="s">
        <v>249</v>
      </c>
      <c r="F27" s="9" t="s">
        <v>250</v>
      </c>
      <c r="G27" s="9" t="s">
        <v>106</v>
      </c>
      <c r="H27" s="9" t="n">
        <f aca="false">COUNTIF(Fields!$B$2:$B$400,A27)</f>
        <v>3</v>
      </c>
      <c r="I27" s="9" t="n">
        <f aca="false">COUNTIF('Open issues'!$C$2:$C$69,A27)</f>
        <v>0</v>
      </c>
      <c r="J27" s="9" t="s">
        <v>251</v>
      </c>
      <c r="K27" s="9" t="s">
        <v>256</v>
      </c>
      <c r="L27" s="9" t="s">
        <v>257</v>
      </c>
      <c r="M27" s="9" t="s">
        <v>258</v>
      </c>
    </row>
    <row r="28" customFormat="false" ht="15" hidden="false" customHeight="false" outlineLevel="0" collapsed="false">
      <c r="A28" s="10" t="s">
        <v>259</v>
      </c>
      <c r="H28" s="10" t="n">
        <f aca="false">SUM(H2:H27)</f>
        <v>399</v>
      </c>
      <c r="I28" s="10" t="n">
        <f aca="false">SUM(I2:I27)</f>
        <v>67</v>
      </c>
    </row>
  </sheetData>
  <autoFilter ref="A1:M2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4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1"/>
    <col collapsed="false" customWidth="true" hidden="false" outlineLevel="0" max="4" min="3" style="0" width="16"/>
    <col collapsed="false" customWidth="true" hidden="false" outlineLevel="0" max="5" min="5" style="0" width="26"/>
    <col collapsed="false" customWidth="true" hidden="false" outlineLevel="0" max="6" min="6" style="0" width="30"/>
    <col collapsed="false" customWidth="true" hidden="false" outlineLevel="0" max="7" min="7" style="0" width="11"/>
    <col collapsed="false" customWidth="true" hidden="false" outlineLevel="0" max="8" min="8" style="0" width="9"/>
    <col collapsed="false" customWidth="true" hidden="false" outlineLevel="0" max="9" min="9" style="0" width="40"/>
    <col collapsed="false" customWidth="true" hidden="false" outlineLevel="0" max="10" min="10" style="0" width="18"/>
    <col collapsed="false" customWidth="true" hidden="false" outlineLevel="0" max="11" min="11" style="0" width="22"/>
    <col collapsed="false" customWidth="true" hidden="false" outlineLevel="0" max="12" min="12" style="0" width="30"/>
    <col collapsed="false" customWidth="true" hidden="false" outlineLevel="0" max="13" min="13" style="0" width="18"/>
    <col collapsed="false" customWidth="true" hidden="false" outlineLevel="0" max="15" min="14" style="0" width="30"/>
    <col collapsed="false" customWidth="true" hidden="false" outlineLevel="0" max="16" min="16" style="0" width="13"/>
    <col collapsed="false" customWidth="true" hidden="false" outlineLevel="0" max="17" min="17" style="0" width="18"/>
    <col collapsed="false" customWidth="true" hidden="false" outlineLevel="0" max="18" min="18" style="0" width="16"/>
    <col collapsed="false" customWidth="true" hidden="false" outlineLevel="0" max="19" min="19" style="0" width="20"/>
  </cols>
  <sheetData>
    <row r="1" customFormat="false" ht="30" hidden="false" customHeight="true" outlineLevel="0" collapsed="false">
      <c r="A1" s="8" t="s">
        <v>4</v>
      </c>
      <c r="B1" s="8" t="s">
        <v>28</v>
      </c>
      <c r="C1" s="11" t="s">
        <v>260</v>
      </c>
      <c r="D1" s="11" t="s">
        <v>8</v>
      </c>
      <c r="E1" s="11" t="s">
        <v>261</v>
      </c>
      <c r="F1" s="12" t="s">
        <v>10</v>
      </c>
      <c r="G1" s="11" t="s">
        <v>262</v>
      </c>
      <c r="H1" s="11" t="s">
        <v>263</v>
      </c>
      <c r="I1" s="11" t="s">
        <v>264</v>
      </c>
      <c r="J1" s="11" t="s">
        <v>265</v>
      </c>
      <c r="K1" s="11" t="s">
        <v>266</v>
      </c>
      <c r="L1" s="11" t="s">
        <v>267</v>
      </c>
      <c r="M1" s="12" t="s">
        <v>268</v>
      </c>
      <c r="N1" s="12" t="s">
        <v>269</v>
      </c>
      <c r="O1" s="13" t="s">
        <v>14</v>
      </c>
      <c r="P1" s="13" t="s">
        <v>270</v>
      </c>
      <c r="Q1" s="14" t="s">
        <v>271</v>
      </c>
      <c r="R1" s="14" t="s">
        <v>272</v>
      </c>
      <c r="S1" s="14" t="s">
        <v>273</v>
      </c>
    </row>
    <row r="2" customFormat="false" ht="113.4" hidden="false" customHeight="false" outlineLevel="0" collapsed="false">
      <c r="A2" s="15" t="s">
        <v>274</v>
      </c>
      <c r="B2" s="16" t="s">
        <v>176</v>
      </c>
      <c r="C2" s="9" t="s">
        <v>275</v>
      </c>
      <c r="D2" s="9" t="s">
        <v>106</v>
      </c>
      <c r="E2" s="9" t="s">
        <v>276</v>
      </c>
      <c r="F2" s="9" t="s">
        <v>277</v>
      </c>
      <c r="G2" s="9" t="s">
        <v>278</v>
      </c>
      <c r="H2" s="9" t="s">
        <v>279</v>
      </c>
      <c r="I2" s="9" t="s">
        <v>280</v>
      </c>
      <c r="J2" s="9" t="s">
        <v>106</v>
      </c>
      <c r="K2" s="9" t="s">
        <v>281</v>
      </c>
      <c r="L2" s="9" t="s">
        <v>282</v>
      </c>
      <c r="M2" s="9" t="s">
        <v>283</v>
      </c>
      <c r="N2" s="9" t="s">
        <v>284</v>
      </c>
      <c r="O2" s="9" t="s">
        <v>285</v>
      </c>
      <c r="P2" s="9" t="s">
        <v>286</v>
      </c>
      <c r="Q2" s="9" t="s">
        <v>287</v>
      </c>
      <c r="R2" s="9" t="s">
        <v>288</v>
      </c>
      <c r="S2" s="9" t="s">
        <v>289</v>
      </c>
    </row>
    <row r="3" customFormat="false" ht="23.85" hidden="false" customHeight="false" outlineLevel="0" collapsed="false">
      <c r="A3" s="16" t="s">
        <v>290</v>
      </c>
      <c r="B3" s="16" t="s">
        <v>176</v>
      </c>
      <c r="C3" s="9" t="s">
        <v>275</v>
      </c>
      <c r="D3" s="9" t="s">
        <v>106</v>
      </c>
      <c r="E3" s="9" t="s">
        <v>291</v>
      </c>
      <c r="F3" s="9" t="s">
        <v>292</v>
      </c>
      <c r="G3" s="9" t="s">
        <v>293</v>
      </c>
      <c r="H3" s="9" t="s">
        <v>106</v>
      </c>
      <c r="I3" s="9" t="s">
        <v>294</v>
      </c>
      <c r="J3" s="9" t="s">
        <v>106</v>
      </c>
      <c r="K3" s="9" t="s">
        <v>281</v>
      </c>
      <c r="L3" s="9" t="s">
        <v>106</v>
      </c>
      <c r="M3" s="9" t="s">
        <v>295</v>
      </c>
      <c r="N3" s="9" t="s">
        <v>296</v>
      </c>
      <c r="O3" s="9" t="s">
        <v>297</v>
      </c>
      <c r="P3" s="9" t="s">
        <v>106</v>
      </c>
      <c r="Q3" s="9" t="s">
        <v>298</v>
      </c>
      <c r="R3" s="9" t="s">
        <v>299</v>
      </c>
      <c r="S3" s="9" t="s">
        <v>300</v>
      </c>
    </row>
    <row r="4" customFormat="false" ht="46.25" hidden="false" customHeight="false" outlineLevel="0" collapsed="false">
      <c r="A4" s="16" t="s">
        <v>301</v>
      </c>
      <c r="B4" s="16" t="s">
        <v>176</v>
      </c>
      <c r="C4" s="9" t="s">
        <v>275</v>
      </c>
      <c r="D4" s="9" t="s">
        <v>106</v>
      </c>
      <c r="E4" s="9" t="s">
        <v>302</v>
      </c>
      <c r="F4" s="9" t="s">
        <v>303</v>
      </c>
      <c r="G4" s="9" t="s">
        <v>293</v>
      </c>
      <c r="H4" s="9" t="s">
        <v>106</v>
      </c>
      <c r="I4" s="9" t="s">
        <v>304</v>
      </c>
      <c r="J4" s="9" t="s">
        <v>106</v>
      </c>
      <c r="K4" s="9" t="s">
        <v>281</v>
      </c>
      <c r="L4" s="9" t="s">
        <v>106</v>
      </c>
      <c r="M4" s="9" t="s">
        <v>305</v>
      </c>
      <c r="N4" s="9" t="s">
        <v>306</v>
      </c>
      <c r="O4" s="9" t="s">
        <v>307</v>
      </c>
      <c r="P4" s="9" t="s">
        <v>308</v>
      </c>
      <c r="Q4" s="9" t="s">
        <v>309</v>
      </c>
      <c r="R4" s="9" t="s">
        <v>310</v>
      </c>
      <c r="S4" s="9" t="s">
        <v>311</v>
      </c>
    </row>
    <row r="5" customFormat="false" ht="46.25" hidden="false" customHeight="false" outlineLevel="0" collapsed="false">
      <c r="A5" s="16" t="s">
        <v>312</v>
      </c>
      <c r="B5" s="16" t="s">
        <v>176</v>
      </c>
      <c r="C5" s="9" t="s">
        <v>275</v>
      </c>
      <c r="D5" s="9" t="s">
        <v>106</v>
      </c>
      <c r="E5" s="9" t="s">
        <v>313</v>
      </c>
      <c r="F5" s="9" t="s">
        <v>314</v>
      </c>
      <c r="G5" s="9" t="s">
        <v>293</v>
      </c>
      <c r="H5" s="9" t="s">
        <v>106</v>
      </c>
      <c r="I5" s="9" t="s">
        <v>315</v>
      </c>
      <c r="J5" s="9" t="s">
        <v>106</v>
      </c>
      <c r="K5" s="9" t="s">
        <v>281</v>
      </c>
      <c r="L5" s="9" t="s">
        <v>106</v>
      </c>
      <c r="M5" s="9" t="s">
        <v>316</v>
      </c>
      <c r="N5" s="9" t="s">
        <v>306</v>
      </c>
      <c r="O5" s="9" t="s">
        <v>317</v>
      </c>
      <c r="P5" s="9" t="s">
        <v>318</v>
      </c>
      <c r="Q5" s="9" t="s">
        <v>319</v>
      </c>
      <c r="R5" s="9" t="s">
        <v>320</v>
      </c>
      <c r="S5" s="9" t="s">
        <v>321</v>
      </c>
    </row>
    <row r="6" customFormat="false" ht="46.25" hidden="false" customHeight="false" outlineLevel="0" collapsed="false">
      <c r="A6" s="15" t="s">
        <v>322</v>
      </c>
      <c r="B6" s="16" t="s">
        <v>176</v>
      </c>
      <c r="C6" s="9" t="s">
        <v>275</v>
      </c>
      <c r="D6" s="9" t="s">
        <v>106</v>
      </c>
      <c r="E6" s="9" t="s">
        <v>323</v>
      </c>
      <c r="F6" s="9" t="s">
        <v>324</v>
      </c>
      <c r="G6" s="9" t="s">
        <v>293</v>
      </c>
      <c r="H6" s="9" t="s">
        <v>106</v>
      </c>
      <c r="I6" s="9" t="s">
        <v>325</v>
      </c>
      <c r="J6" s="9" t="s">
        <v>106</v>
      </c>
      <c r="K6" s="9" t="s">
        <v>281</v>
      </c>
      <c r="L6" s="9" t="s">
        <v>106</v>
      </c>
      <c r="M6" s="9" t="s">
        <v>326</v>
      </c>
      <c r="N6" s="9" t="s">
        <v>106</v>
      </c>
      <c r="O6" s="9" t="s">
        <v>327</v>
      </c>
      <c r="P6" s="9" t="s">
        <v>106</v>
      </c>
      <c r="Q6" s="9" t="s">
        <v>328</v>
      </c>
      <c r="R6" s="9" t="s">
        <v>329</v>
      </c>
      <c r="S6" s="9" t="s">
        <v>330</v>
      </c>
    </row>
    <row r="7" customFormat="false" ht="23.85" hidden="false" customHeight="false" outlineLevel="0" collapsed="false">
      <c r="A7" s="16" t="s">
        <v>331</v>
      </c>
      <c r="B7" s="16" t="s">
        <v>176</v>
      </c>
      <c r="C7" s="9" t="s">
        <v>275</v>
      </c>
      <c r="D7" s="9" t="s">
        <v>106</v>
      </c>
      <c r="E7" s="9" t="s">
        <v>332</v>
      </c>
      <c r="F7" s="9" t="s">
        <v>333</v>
      </c>
      <c r="G7" s="9" t="s">
        <v>293</v>
      </c>
      <c r="H7" s="9" t="s">
        <v>106</v>
      </c>
      <c r="I7" s="9" t="s">
        <v>334</v>
      </c>
      <c r="J7" s="9" t="s">
        <v>106</v>
      </c>
      <c r="K7" s="9" t="s">
        <v>281</v>
      </c>
      <c r="L7" s="9" t="s">
        <v>335</v>
      </c>
      <c r="M7" s="9" t="s">
        <v>336</v>
      </c>
      <c r="N7" s="9" t="s">
        <v>106</v>
      </c>
      <c r="O7" s="9" t="s">
        <v>337</v>
      </c>
      <c r="P7" s="9" t="s">
        <v>106</v>
      </c>
      <c r="Q7" s="9" t="s">
        <v>328</v>
      </c>
      <c r="R7" s="9" t="s">
        <v>338</v>
      </c>
      <c r="S7" s="9" t="s">
        <v>339</v>
      </c>
    </row>
    <row r="8" customFormat="false" ht="35.05" hidden="false" customHeight="false" outlineLevel="0" collapsed="false">
      <c r="A8" s="16" t="s">
        <v>340</v>
      </c>
      <c r="B8" s="16" t="s">
        <v>176</v>
      </c>
      <c r="C8" s="9" t="s">
        <v>275</v>
      </c>
      <c r="D8" s="9" t="s">
        <v>106</v>
      </c>
      <c r="E8" s="9" t="s">
        <v>341</v>
      </c>
      <c r="F8" s="9" t="s">
        <v>342</v>
      </c>
      <c r="G8" s="9" t="s">
        <v>293</v>
      </c>
      <c r="H8" s="9" t="s">
        <v>106</v>
      </c>
      <c r="I8" s="9" t="s">
        <v>343</v>
      </c>
      <c r="J8" s="9" t="s">
        <v>106</v>
      </c>
      <c r="K8" s="9" t="s">
        <v>281</v>
      </c>
      <c r="L8" s="9" t="s">
        <v>106</v>
      </c>
      <c r="M8" s="9" t="s">
        <v>344</v>
      </c>
      <c r="N8" s="9" t="s">
        <v>306</v>
      </c>
      <c r="O8" s="9" t="s">
        <v>345</v>
      </c>
      <c r="P8" s="9" t="s">
        <v>346</v>
      </c>
      <c r="Q8" s="9" t="s">
        <v>347</v>
      </c>
      <c r="R8" s="9" t="s">
        <v>348</v>
      </c>
      <c r="S8" s="9" t="s">
        <v>349</v>
      </c>
    </row>
    <row r="9" customFormat="false" ht="79.85" hidden="false" customHeight="false" outlineLevel="0" collapsed="false">
      <c r="A9" s="15" t="s">
        <v>350</v>
      </c>
      <c r="B9" s="16" t="s">
        <v>176</v>
      </c>
      <c r="C9" s="9" t="s">
        <v>275</v>
      </c>
      <c r="D9" s="9" t="s">
        <v>106</v>
      </c>
      <c r="E9" s="9" t="s">
        <v>351</v>
      </c>
      <c r="F9" s="9" t="s">
        <v>352</v>
      </c>
      <c r="G9" s="9" t="s">
        <v>293</v>
      </c>
      <c r="H9" s="9" t="s">
        <v>106</v>
      </c>
      <c r="I9" s="9" t="s">
        <v>353</v>
      </c>
      <c r="J9" s="9" t="s">
        <v>106</v>
      </c>
      <c r="K9" s="9" t="s">
        <v>281</v>
      </c>
      <c r="L9" s="9" t="s">
        <v>106</v>
      </c>
      <c r="M9" s="9" t="s">
        <v>354</v>
      </c>
      <c r="N9" s="9" t="s">
        <v>306</v>
      </c>
      <c r="O9" s="9" t="s">
        <v>355</v>
      </c>
      <c r="P9" s="9" t="s">
        <v>356</v>
      </c>
      <c r="Q9" s="9" t="s">
        <v>357</v>
      </c>
      <c r="R9" s="9" t="s">
        <v>358</v>
      </c>
      <c r="S9" s="9" t="s">
        <v>359</v>
      </c>
    </row>
    <row r="10" customFormat="false" ht="35.05" hidden="false" customHeight="false" outlineLevel="0" collapsed="false">
      <c r="A10" s="16" t="s">
        <v>360</v>
      </c>
      <c r="B10" s="16" t="s">
        <v>176</v>
      </c>
      <c r="C10" s="9" t="s">
        <v>275</v>
      </c>
      <c r="D10" s="9" t="s">
        <v>106</v>
      </c>
      <c r="E10" s="9" t="s">
        <v>361</v>
      </c>
      <c r="F10" s="9" t="s">
        <v>362</v>
      </c>
      <c r="G10" s="9" t="s">
        <v>293</v>
      </c>
      <c r="H10" s="9" t="s">
        <v>106</v>
      </c>
      <c r="I10" s="9" t="s">
        <v>363</v>
      </c>
      <c r="J10" s="9" t="s">
        <v>106</v>
      </c>
      <c r="K10" s="9" t="s">
        <v>281</v>
      </c>
      <c r="L10" s="9" t="s">
        <v>106</v>
      </c>
      <c r="M10" s="9" t="s">
        <v>364</v>
      </c>
      <c r="N10" s="9" t="s">
        <v>306</v>
      </c>
      <c r="O10" s="9" t="s">
        <v>365</v>
      </c>
      <c r="P10" s="9" t="s">
        <v>366</v>
      </c>
      <c r="Q10" s="9" t="s">
        <v>367</v>
      </c>
      <c r="R10" s="9" t="s">
        <v>368</v>
      </c>
      <c r="S10" s="9" t="s">
        <v>369</v>
      </c>
    </row>
    <row r="11" customFormat="false" ht="35.05" hidden="false" customHeight="false" outlineLevel="0" collapsed="false">
      <c r="A11" s="16" t="s">
        <v>370</v>
      </c>
      <c r="B11" s="16" t="s">
        <v>176</v>
      </c>
      <c r="C11" s="9" t="s">
        <v>275</v>
      </c>
      <c r="D11" s="9" t="s">
        <v>106</v>
      </c>
      <c r="E11" s="9" t="s">
        <v>371</v>
      </c>
      <c r="F11" s="9" t="s">
        <v>372</v>
      </c>
      <c r="G11" s="9" t="s">
        <v>293</v>
      </c>
      <c r="H11" s="9" t="s">
        <v>106</v>
      </c>
      <c r="I11" s="9" t="s">
        <v>373</v>
      </c>
      <c r="J11" s="9" t="s">
        <v>106</v>
      </c>
      <c r="K11" s="9" t="s">
        <v>281</v>
      </c>
      <c r="L11" s="9" t="s">
        <v>374</v>
      </c>
      <c r="M11" s="9" t="s">
        <v>375</v>
      </c>
      <c r="N11" s="9" t="s">
        <v>306</v>
      </c>
      <c r="O11" s="9" t="s">
        <v>376</v>
      </c>
      <c r="P11" s="9" t="s">
        <v>308</v>
      </c>
      <c r="Q11" s="9" t="s">
        <v>377</v>
      </c>
      <c r="R11" s="9" t="s">
        <v>378</v>
      </c>
      <c r="S11" s="9" t="s">
        <v>359</v>
      </c>
    </row>
    <row r="12" customFormat="false" ht="57.45" hidden="false" customHeight="false" outlineLevel="0" collapsed="false">
      <c r="A12" s="16" t="s">
        <v>379</v>
      </c>
      <c r="B12" s="16" t="s">
        <v>176</v>
      </c>
      <c r="C12" s="9" t="s">
        <v>275</v>
      </c>
      <c r="D12" s="9" t="s">
        <v>106</v>
      </c>
      <c r="E12" s="9" t="s">
        <v>380</v>
      </c>
      <c r="F12" s="9" t="s">
        <v>381</v>
      </c>
      <c r="G12" s="9" t="s">
        <v>293</v>
      </c>
      <c r="H12" s="9" t="s">
        <v>106</v>
      </c>
      <c r="I12" s="9" t="s">
        <v>382</v>
      </c>
      <c r="J12" s="9" t="s">
        <v>106</v>
      </c>
      <c r="K12" s="9" t="s">
        <v>383</v>
      </c>
      <c r="L12" s="9" t="s">
        <v>106</v>
      </c>
      <c r="M12" s="9" t="s">
        <v>384</v>
      </c>
      <c r="N12" s="9" t="s">
        <v>385</v>
      </c>
      <c r="O12" s="9" t="s">
        <v>386</v>
      </c>
      <c r="P12" s="9" t="s">
        <v>387</v>
      </c>
      <c r="Q12" s="9" t="s">
        <v>388</v>
      </c>
      <c r="R12" s="9" t="s">
        <v>389</v>
      </c>
      <c r="S12" s="9" t="s">
        <v>390</v>
      </c>
    </row>
    <row r="13" customFormat="false" ht="35.05" hidden="false" customHeight="false" outlineLevel="0" collapsed="false">
      <c r="A13" s="15" t="s">
        <v>391</v>
      </c>
      <c r="B13" s="16" t="s">
        <v>176</v>
      </c>
      <c r="C13" s="9" t="s">
        <v>275</v>
      </c>
      <c r="D13" s="9" t="s">
        <v>106</v>
      </c>
      <c r="E13" s="9" t="s">
        <v>392</v>
      </c>
      <c r="F13" s="9" t="s">
        <v>393</v>
      </c>
      <c r="G13" s="9" t="s">
        <v>394</v>
      </c>
      <c r="H13" s="9" t="s">
        <v>395</v>
      </c>
      <c r="I13" s="9" t="s">
        <v>396</v>
      </c>
      <c r="J13" s="9" t="s">
        <v>397</v>
      </c>
      <c r="K13" s="9" t="s">
        <v>281</v>
      </c>
      <c r="L13" s="9" t="s">
        <v>106</v>
      </c>
      <c r="M13" s="9" t="s">
        <v>398</v>
      </c>
      <c r="N13" s="9" t="s">
        <v>399</v>
      </c>
      <c r="O13" s="9" t="s">
        <v>400</v>
      </c>
      <c r="P13" s="9" t="s">
        <v>401</v>
      </c>
      <c r="Q13" s="9" t="s">
        <v>402</v>
      </c>
      <c r="R13" s="9" t="s">
        <v>403</v>
      </c>
      <c r="S13" s="9" t="s">
        <v>404</v>
      </c>
    </row>
    <row r="14" customFormat="false" ht="46.25" hidden="false" customHeight="false" outlineLevel="0" collapsed="false">
      <c r="A14" s="16" t="s">
        <v>405</v>
      </c>
      <c r="B14" s="16" t="s">
        <v>176</v>
      </c>
      <c r="C14" s="9" t="s">
        <v>406</v>
      </c>
      <c r="D14" s="9" t="s">
        <v>106</v>
      </c>
      <c r="E14" s="9" t="s">
        <v>407</v>
      </c>
      <c r="F14" s="9" t="s">
        <v>408</v>
      </c>
      <c r="G14" s="9" t="s">
        <v>278</v>
      </c>
      <c r="H14" s="9" t="s">
        <v>279</v>
      </c>
      <c r="I14" s="9" t="s">
        <v>409</v>
      </c>
      <c r="J14" s="9" t="s">
        <v>106</v>
      </c>
      <c r="K14" s="9" t="s">
        <v>410</v>
      </c>
      <c r="L14" s="9" t="s">
        <v>411</v>
      </c>
      <c r="M14" s="9" t="s">
        <v>283</v>
      </c>
      <c r="N14" s="9" t="s">
        <v>284</v>
      </c>
      <c r="O14" s="9" t="s">
        <v>412</v>
      </c>
      <c r="P14" s="9" t="s">
        <v>286</v>
      </c>
      <c r="Q14" s="9" t="s">
        <v>413</v>
      </c>
      <c r="R14" s="9" t="s">
        <v>414</v>
      </c>
      <c r="S14" s="9" t="s">
        <v>415</v>
      </c>
    </row>
    <row r="15" customFormat="false" ht="35.05" hidden="false" customHeight="false" outlineLevel="0" collapsed="false">
      <c r="A15" s="16" t="s">
        <v>416</v>
      </c>
      <c r="B15" s="16" t="s">
        <v>176</v>
      </c>
      <c r="C15" s="9" t="s">
        <v>406</v>
      </c>
      <c r="D15" s="9" t="s">
        <v>106</v>
      </c>
      <c r="E15" s="9" t="s">
        <v>417</v>
      </c>
      <c r="F15" s="9" t="s">
        <v>418</v>
      </c>
      <c r="G15" s="9" t="s">
        <v>278</v>
      </c>
      <c r="H15" s="9" t="s">
        <v>395</v>
      </c>
      <c r="I15" s="9" t="s">
        <v>419</v>
      </c>
      <c r="J15" s="9" t="s">
        <v>106</v>
      </c>
      <c r="K15" s="9" t="s">
        <v>420</v>
      </c>
      <c r="L15" s="9" t="s">
        <v>106</v>
      </c>
      <c r="M15" s="9" t="s">
        <v>421</v>
      </c>
      <c r="N15" s="9" t="s">
        <v>284</v>
      </c>
      <c r="O15" s="9" t="s">
        <v>422</v>
      </c>
      <c r="P15" s="9" t="s">
        <v>423</v>
      </c>
      <c r="Q15" s="9" t="s">
        <v>424</v>
      </c>
      <c r="R15" s="9" t="s">
        <v>425</v>
      </c>
      <c r="S15" s="9" t="s">
        <v>426</v>
      </c>
    </row>
    <row r="16" customFormat="false" ht="23.85" hidden="false" customHeight="false" outlineLevel="0" collapsed="false">
      <c r="A16" s="16" t="s">
        <v>427</v>
      </c>
      <c r="B16" s="16" t="s">
        <v>176</v>
      </c>
      <c r="C16" s="9" t="s">
        <v>406</v>
      </c>
      <c r="D16" s="9" t="s">
        <v>106</v>
      </c>
      <c r="E16" s="9" t="s">
        <v>428</v>
      </c>
      <c r="F16" s="9" t="s">
        <v>429</v>
      </c>
      <c r="G16" s="9" t="s">
        <v>293</v>
      </c>
      <c r="H16" s="9" t="s">
        <v>106</v>
      </c>
      <c r="I16" s="9" t="s">
        <v>294</v>
      </c>
      <c r="J16" s="9" t="s">
        <v>106</v>
      </c>
      <c r="K16" s="9" t="s">
        <v>281</v>
      </c>
      <c r="L16" s="9" t="s">
        <v>106</v>
      </c>
      <c r="M16" s="9" t="s">
        <v>295</v>
      </c>
      <c r="N16" s="9" t="s">
        <v>106</v>
      </c>
      <c r="O16" s="9" t="s">
        <v>430</v>
      </c>
      <c r="P16" s="9" t="s">
        <v>106</v>
      </c>
      <c r="Q16" s="9" t="s">
        <v>298</v>
      </c>
      <c r="R16" s="9" t="s">
        <v>431</v>
      </c>
      <c r="S16" s="9" t="s">
        <v>432</v>
      </c>
    </row>
    <row r="17" customFormat="false" ht="23.85" hidden="false" customHeight="false" outlineLevel="0" collapsed="false">
      <c r="A17" s="16" t="s">
        <v>433</v>
      </c>
      <c r="B17" s="16" t="s">
        <v>176</v>
      </c>
      <c r="C17" s="9" t="s">
        <v>406</v>
      </c>
      <c r="D17" s="9" t="s">
        <v>106</v>
      </c>
      <c r="E17" s="9" t="s">
        <v>434</v>
      </c>
      <c r="F17" s="9" t="s">
        <v>435</v>
      </c>
      <c r="G17" s="9" t="s">
        <v>293</v>
      </c>
      <c r="H17" s="9" t="s">
        <v>106</v>
      </c>
      <c r="I17" s="9" t="s">
        <v>436</v>
      </c>
      <c r="J17" s="9" t="s">
        <v>106</v>
      </c>
      <c r="K17" s="9" t="s">
        <v>281</v>
      </c>
      <c r="L17" s="9" t="s">
        <v>106</v>
      </c>
      <c r="M17" s="9" t="s">
        <v>106</v>
      </c>
      <c r="N17" s="9" t="s">
        <v>106</v>
      </c>
      <c r="O17" s="9" t="s">
        <v>437</v>
      </c>
      <c r="P17" s="9" t="s">
        <v>106</v>
      </c>
      <c r="Q17" s="9" t="s">
        <v>298</v>
      </c>
      <c r="R17" s="9" t="s">
        <v>425</v>
      </c>
      <c r="S17" s="9" t="s">
        <v>415</v>
      </c>
    </row>
    <row r="18" customFormat="false" ht="35.05" hidden="false" customHeight="false" outlineLevel="0" collapsed="false">
      <c r="A18" s="16" t="s">
        <v>438</v>
      </c>
      <c r="B18" s="16" t="s">
        <v>176</v>
      </c>
      <c r="C18" s="9" t="s">
        <v>406</v>
      </c>
      <c r="D18" s="9" t="s">
        <v>106</v>
      </c>
      <c r="E18" s="9" t="s">
        <v>439</v>
      </c>
      <c r="F18" s="9" t="s">
        <v>440</v>
      </c>
      <c r="G18" s="9" t="s">
        <v>293</v>
      </c>
      <c r="H18" s="9" t="s">
        <v>106</v>
      </c>
      <c r="I18" s="9" t="s">
        <v>441</v>
      </c>
      <c r="J18" s="9" t="s">
        <v>106</v>
      </c>
      <c r="K18" s="9" t="s">
        <v>281</v>
      </c>
      <c r="L18" s="9" t="s">
        <v>106</v>
      </c>
      <c r="M18" s="9" t="s">
        <v>106</v>
      </c>
      <c r="N18" s="9" t="s">
        <v>106</v>
      </c>
      <c r="O18" s="9" t="s">
        <v>442</v>
      </c>
      <c r="P18" s="9" t="s">
        <v>106</v>
      </c>
      <c r="Q18" s="9" t="s">
        <v>298</v>
      </c>
      <c r="R18" s="9" t="s">
        <v>431</v>
      </c>
      <c r="S18" s="9" t="s">
        <v>432</v>
      </c>
    </row>
    <row r="19" customFormat="false" ht="57.45" hidden="false" customHeight="false" outlineLevel="0" collapsed="false">
      <c r="A19" s="16" t="s">
        <v>443</v>
      </c>
      <c r="B19" s="16" t="s">
        <v>176</v>
      </c>
      <c r="C19" s="9" t="s">
        <v>406</v>
      </c>
      <c r="D19" s="9" t="s">
        <v>106</v>
      </c>
      <c r="E19" s="9" t="s">
        <v>444</v>
      </c>
      <c r="F19" s="9" t="s">
        <v>445</v>
      </c>
      <c r="G19" s="9" t="s">
        <v>293</v>
      </c>
      <c r="H19" s="9" t="s">
        <v>106</v>
      </c>
      <c r="I19" s="9" t="s">
        <v>446</v>
      </c>
      <c r="J19" s="9" t="s">
        <v>106</v>
      </c>
      <c r="K19" s="9" t="s">
        <v>281</v>
      </c>
      <c r="L19" s="9" t="s">
        <v>106</v>
      </c>
      <c r="M19" s="9" t="s">
        <v>447</v>
      </c>
      <c r="N19" s="9" t="s">
        <v>306</v>
      </c>
      <c r="O19" s="9" t="s">
        <v>448</v>
      </c>
      <c r="P19" s="9" t="s">
        <v>318</v>
      </c>
      <c r="Q19" s="9" t="s">
        <v>449</v>
      </c>
      <c r="R19" s="9" t="s">
        <v>450</v>
      </c>
      <c r="S19" s="9" t="s">
        <v>426</v>
      </c>
    </row>
    <row r="20" customFormat="false" ht="35.05" hidden="false" customHeight="false" outlineLevel="0" collapsed="false">
      <c r="A20" s="16" t="s">
        <v>451</v>
      </c>
      <c r="B20" s="16" t="s">
        <v>176</v>
      </c>
      <c r="C20" s="9" t="s">
        <v>406</v>
      </c>
      <c r="D20" s="9" t="s">
        <v>106</v>
      </c>
      <c r="E20" s="9" t="s">
        <v>452</v>
      </c>
      <c r="F20" s="9" t="s">
        <v>453</v>
      </c>
      <c r="G20" s="9" t="s">
        <v>293</v>
      </c>
      <c r="H20" s="9" t="s">
        <v>106</v>
      </c>
      <c r="I20" s="9" t="s">
        <v>454</v>
      </c>
      <c r="J20" s="9" t="s">
        <v>106</v>
      </c>
      <c r="K20" s="9" t="s">
        <v>281</v>
      </c>
      <c r="L20" s="9" t="s">
        <v>106</v>
      </c>
      <c r="M20" s="9" t="s">
        <v>455</v>
      </c>
      <c r="N20" s="9" t="s">
        <v>106</v>
      </c>
      <c r="O20" s="9" t="s">
        <v>456</v>
      </c>
      <c r="P20" s="9" t="s">
        <v>106</v>
      </c>
      <c r="Q20" s="9" t="s">
        <v>328</v>
      </c>
      <c r="R20" s="9" t="s">
        <v>106</v>
      </c>
      <c r="S20" s="9" t="s">
        <v>415</v>
      </c>
    </row>
    <row r="21" customFormat="false" ht="46.25" hidden="false" customHeight="false" outlineLevel="0" collapsed="false">
      <c r="A21" s="16" t="s">
        <v>457</v>
      </c>
      <c r="B21" s="16" t="s">
        <v>185</v>
      </c>
      <c r="C21" s="9" t="s">
        <v>458</v>
      </c>
      <c r="D21" s="9" t="s">
        <v>106</v>
      </c>
      <c r="E21" s="9" t="s">
        <v>459</v>
      </c>
      <c r="F21" s="9" t="s">
        <v>460</v>
      </c>
      <c r="G21" s="9" t="s">
        <v>293</v>
      </c>
      <c r="H21" s="9" t="s">
        <v>106</v>
      </c>
      <c r="I21" s="9" t="s">
        <v>461</v>
      </c>
      <c r="J21" s="9" t="s">
        <v>106</v>
      </c>
      <c r="K21" s="9" t="s">
        <v>281</v>
      </c>
      <c r="L21" s="9" t="s">
        <v>462</v>
      </c>
      <c r="M21" s="9" t="s">
        <v>106</v>
      </c>
      <c r="N21" s="9" t="s">
        <v>463</v>
      </c>
      <c r="O21" s="9" t="s">
        <v>464</v>
      </c>
      <c r="P21" s="9" t="s">
        <v>106</v>
      </c>
      <c r="Q21" s="9" t="s">
        <v>465</v>
      </c>
      <c r="R21" s="9" t="s">
        <v>466</v>
      </c>
      <c r="S21" s="9" t="s">
        <v>467</v>
      </c>
    </row>
    <row r="22" customFormat="false" ht="35.05" hidden="false" customHeight="false" outlineLevel="0" collapsed="false">
      <c r="A22" s="15" t="s">
        <v>468</v>
      </c>
      <c r="B22" s="16" t="s">
        <v>185</v>
      </c>
      <c r="C22" s="9" t="s">
        <v>458</v>
      </c>
      <c r="D22" s="9" t="s">
        <v>106</v>
      </c>
      <c r="E22" s="9" t="s">
        <v>469</v>
      </c>
      <c r="F22" s="9" t="s">
        <v>470</v>
      </c>
      <c r="G22" s="9" t="s">
        <v>293</v>
      </c>
      <c r="H22" s="9" t="s">
        <v>106</v>
      </c>
      <c r="I22" s="9" t="s">
        <v>471</v>
      </c>
      <c r="J22" s="9" t="s">
        <v>472</v>
      </c>
      <c r="K22" s="9" t="s">
        <v>281</v>
      </c>
      <c r="L22" s="9" t="s">
        <v>473</v>
      </c>
      <c r="M22" s="9" t="s">
        <v>474</v>
      </c>
      <c r="N22" s="9" t="s">
        <v>475</v>
      </c>
      <c r="O22" s="9" t="s">
        <v>476</v>
      </c>
      <c r="P22" s="9" t="s">
        <v>106</v>
      </c>
      <c r="Q22" s="9" t="s">
        <v>477</v>
      </c>
      <c r="R22" s="9" t="s">
        <v>478</v>
      </c>
      <c r="S22" s="9" t="s">
        <v>479</v>
      </c>
    </row>
    <row r="23" customFormat="false" ht="79.85" hidden="false" customHeight="false" outlineLevel="0" collapsed="false">
      <c r="A23" s="15" t="s">
        <v>480</v>
      </c>
      <c r="B23" s="16" t="s">
        <v>185</v>
      </c>
      <c r="C23" s="9" t="s">
        <v>458</v>
      </c>
      <c r="D23" s="9" t="s">
        <v>106</v>
      </c>
      <c r="E23" s="9" t="s">
        <v>481</v>
      </c>
      <c r="F23" s="9" t="s">
        <v>482</v>
      </c>
      <c r="G23" s="9" t="s">
        <v>278</v>
      </c>
      <c r="H23" s="9" t="s">
        <v>395</v>
      </c>
      <c r="I23" s="9" t="s">
        <v>483</v>
      </c>
      <c r="J23" s="9" t="s">
        <v>106</v>
      </c>
      <c r="K23" s="9" t="s">
        <v>484</v>
      </c>
      <c r="L23" s="9" t="s">
        <v>485</v>
      </c>
      <c r="M23" s="9" t="s">
        <v>421</v>
      </c>
      <c r="N23" s="9" t="s">
        <v>284</v>
      </c>
      <c r="O23" s="9" t="s">
        <v>486</v>
      </c>
      <c r="P23" s="9" t="s">
        <v>487</v>
      </c>
      <c r="Q23" s="9" t="s">
        <v>488</v>
      </c>
      <c r="R23" s="9" t="s">
        <v>489</v>
      </c>
      <c r="S23" s="9" t="s">
        <v>490</v>
      </c>
    </row>
    <row r="24" customFormat="false" ht="35.05" hidden="false" customHeight="false" outlineLevel="0" collapsed="false">
      <c r="A24" s="16" t="s">
        <v>491</v>
      </c>
      <c r="B24" s="16" t="s">
        <v>185</v>
      </c>
      <c r="C24" s="9" t="s">
        <v>458</v>
      </c>
      <c r="D24" s="9" t="s">
        <v>106</v>
      </c>
      <c r="E24" s="9" t="s">
        <v>492</v>
      </c>
      <c r="F24" s="9" t="s">
        <v>493</v>
      </c>
      <c r="G24" s="9" t="s">
        <v>293</v>
      </c>
      <c r="H24" s="9" t="s">
        <v>106</v>
      </c>
      <c r="I24" s="9" t="s">
        <v>494</v>
      </c>
      <c r="J24" s="9" t="s">
        <v>106</v>
      </c>
      <c r="K24" s="9" t="s">
        <v>281</v>
      </c>
      <c r="L24" s="9" t="s">
        <v>106</v>
      </c>
      <c r="M24" s="9" t="s">
        <v>295</v>
      </c>
      <c r="N24" s="9" t="s">
        <v>495</v>
      </c>
      <c r="O24" s="9" t="s">
        <v>430</v>
      </c>
      <c r="P24" s="9" t="s">
        <v>106</v>
      </c>
      <c r="Q24" s="9" t="s">
        <v>298</v>
      </c>
      <c r="R24" s="9" t="s">
        <v>496</v>
      </c>
      <c r="S24" s="9" t="s">
        <v>467</v>
      </c>
    </row>
    <row r="25" customFormat="false" ht="46.25" hidden="false" customHeight="false" outlineLevel="0" collapsed="false">
      <c r="A25" s="16" t="s">
        <v>497</v>
      </c>
      <c r="B25" s="16" t="s">
        <v>185</v>
      </c>
      <c r="C25" s="9" t="s">
        <v>458</v>
      </c>
      <c r="D25" s="9" t="s">
        <v>106</v>
      </c>
      <c r="E25" s="9" t="s">
        <v>498</v>
      </c>
      <c r="F25" s="9" t="s">
        <v>499</v>
      </c>
      <c r="G25" s="9" t="s">
        <v>293</v>
      </c>
      <c r="H25" s="9" t="s">
        <v>106</v>
      </c>
      <c r="I25" s="9" t="s">
        <v>500</v>
      </c>
      <c r="J25" s="9" t="s">
        <v>106</v>
      </c>
      <c r="K25" s="9" t="s">
        <v>281</v>
      </c>
      <c r="L25" s="9" t="s">
        <v>106</v>
      </c>
      <c r="M25" s="9" t="s">
        <v>447</v>
      </c>
      <c r="N25" s="9" t="s">
        <v>306</v>
      </c>
      <c r="O25" s="9" t="s">
        <v>501</v>
      </c>
      <c r="P25" s="9" t="s">
        <v>318</v>
      </c>
      <c r="Q25" s="9" t="s">
        <v>502</v>
      </c>
      <c r="R25" s="9" t="s">
        <v>503</v>
      </c>
      <c r="S25" s="9" t="s">
        <v>467</v>
      </c>
    </row>
    <row r="26" customFormat="false" ht="23.85" hidden="false" customHeight="false" outlineLevel="0" collapsed="false">
      <c r="A26" s="16" t="s">
        <v>504</v>
      </c>
      <c r="B26" s="16" t="s">
        <v>185</v>
      </c>
      <c r="C26" s="9" t="s">
        <v>458</v>
      </c>
      <c r="D26" s="9" t="s">
        <v>106</v>
      </c>
      <c r="E26" s="9" t="s">
        <v>505</v>
      </c>
      <c r="F26" s="9" t="s">
        <v>506</v>
      </c>
      <c r="G26" s="9" t="s">
        <v>293</v>
      </c>
      <c r="H26" s="9" t="s">
        <v>106</v>
      </c>
      <c r="I26" s="9" t="s">
        <v>106</v>
      </c>
      <c r="J26" s="9" t="s">
        <v>106</v>
      </c>
      <c r="K26" s="9" t="s">
        <v>281</v>
      </c>
      <c r="L26" s="9" t="s">
        <v>106</v>
      </c>
      <c r="M26" s="9" t="s">
        <v>106</v>
      </c>
      <c r="N26" s="9" t="s">
        <v>106</v>
      </c>
      <c r="O26" s="9" t="s">
        <v>507</v>
      </c>
      <c r="P26" s="9" t="s">
        <v>106</v>
      </c>
      <c r="Q26" s="9" t="s">
        <v>502</v>
      </c>
      <c r="R26" s="9" t="s">
        <v>106</v>
      </c>
      <c r="S26" s="9" t="s">
        <v>187</v>
      </c>
    </row>
    <row r="27" customFormat="false" ht="46.25" hidden="false" customHeight="false" outlineLevel="0" collapsed="false">
      <c r="A27" s="16" t="s">
        <v>508</v>
      </c>
      <c r="B27" s="16" t="s">
        <v>185</v>
      </c>
      <c r="C27" s="9" t="s">
        <v>458</v>
      </c>
      <c r="D27" s="9" t="s">
        <v>106</v>
      </c>
      <c r="E27" s="9" t="s">
        <v>509</v>
      </c>
      <c r="F27" s="9" t="s">
        <v>510</v>
      </c>
      <c r="G27" s="9" t="s">
        <v>293</v>
      </c>
      <c r="H27" s="9" t="s">
        <v>106</v>
      </c>
      <c r="I27" s="9" t="s">
        <v>511</v>
      </c>
      <c r="J27" s="9" t="s">
        <v>106</v>
      </c>
      <c r="K27" s="9" t="s">
        <v>281</v>
      </c>
      <c r="L27" s="9" t="s">
        <v>106</v>
      </c>
      <c r="M27" s="9" t="s">
        <v>375</v>
      </c>
      <c r="N27" s="9" t="s">
        <v>306</v>
      </c>
      <c r="O27" s="9" t="s">
        <v>376</v>
      </c>
      <c r="P27" s="9" t="s">
        <v>308</v>
      </c>
      <c r="Q27" s="9" t="s">
        <v>502</v>
      </c>
      <c r="R27" s="9" t="s">
        <v>512</v>
      </c>
      <c r="S27" s="9" t="s">
        <v>467</v>
      </c>
    </row>
    <row r="28" customFormat="false" ht="23.85" hidden="false" customHeight="false" outlineLevel="0" collapsed="false">
      <c r="A28" s="16" t="s">
        <v>513</v>
      </c>
      <c r="B28" s="16" t="s">
        <v>185</v>
      </c>
      <c r="C28" s="9" t="s">
        <v>458</v>
      </c>
      <c r="D28" s="9" t="s">
        <v>106</v>
      </c>
      <c r="E28" s="9" t="s">
        <v>514</v>
      </c>
      <c r="F28" s="9" t="s">
        <v>515</v>
      </c>
      <c r="G28" s="9" t="s">
        <v>293</v>
      </c>
      <c r="H28" s="9" t="s">
        <v>106</v>
      </c>
      <c r="I28" s="9" t="s">
        <v>516</v>
      </c>
      <c r="J28" s="9" t="s">
        <v>106</v>
      </c>
      <c r="K28" s="9" t="s">
        <v>517</v>
      </c>
      <c r="L28" s="9" t="s">
        <v>106</v>
      </c>
      <c r="M28" s="9" t="s">
        <v>518</v>
      </c>
      <c r="N28" s="9" t="s">
        <v>306</v>
      </c>
      <c r="O28" s="9" t="s">
        <v>519</v>
      </c>
      <c r="P28" s="9" t="s">
        <v>520</v>
      </c>
      <c r="Q28" s="9" t="s">
        <v>521</v>
      </c>
      <c r="R28" s="9" t="s">
        <v>522</v>
      </c>
      <c r="S28" s="9" t="s">
        <v>523</v>
      </c>
    </row>
    <row r="29" customFormat="false" ht="68.65" hidden="false" customHeight="false" outlineLevel="0" collapsed="false">
      <c r="A29" s="15" t="s">
        <v>524</v>
      </c>
      <c r="B29" s="16" t="s">
        <v>192</v>
      </c>
      <c r="C29" s="9" t="s">
        <v>458</v>
      </c>
      <c r="D29" s="9" t="s">
        <v>106</v>
      </c>
      <c r="E29" s="9" t="s">
        <v>525</v>
      </c>
      <c r="F29" s="9" t="s">
        <v>526</v>
      </c>
      <c r="G29" s="9" t="s">
        <v>278</v>
      </c>
      <c r="H29" s="9" t="s">
        <v>527</v>
      </c>
      <c r="I29" s="9" t="s">
        <v>528</v>
      </c>
      <c r="J29" s="9" t="s">
        <v>106</v>
      </c>
      <c r="K29" s="9" t="s">
        <v>529</v>
      </c>
      <c r="L29" s="9" t="s">
        <v>530</v>
      </c>
      <c r="M29" s="9" t="s">
        <v>283</v>
      </c>
      <c r="N29" s="9" t="s">
        <v>284</v>
      </c>
      <c r="O29" s="9" t="s">
        <v>531</v>
      </c>
      <c r="P29" s="9" t="s">
        <v>286</v>
      </c>
      <c r="Q29" s="9" t="s">
        <v>532</v>
      </c>
      <c r="R29" s="9" t="s">
        <v>533</v>
      </c>
      <c r="S29" s="9" t="s">
        <v>534</v>
      </c>
    </row>
    <row r="30" customFormat="false" ht="23.85" hidden="false" customHeight="false" outlineLevel="0" collapsed="false">
      <c r="A30" s="16" t="s">
        <v>535</v>
      </c>
      <c r="B30" s="16" t="s">
        <v>192</v>
      </c>
      <c r="C30" s="9" t="s">
        <v>458</v>
      </c>
      <c r="D30" s="9" t="s">
        <v>106</v>
      </c>
      <c r="E30" s="9" t="s">
        <v>536</v>
      </c>
      <c r="F30" s="9" t="s">
        <v>537</v>
      </c>
      <c r="G30" s="9" t="s">
        <v>293</v>
      </c>
      <c r="H30" s="9" t="s">
        <v>106</v>
      </c>
      <c r="I30" s="9" t="s">
        <v>538</v>
      </c>
      <c r="J30" s="9" t="s">
        <v>106</v>
      </c>
      <c r="K30" s="9" t="s">
        <v>281</v>
      </c>
      <c r="L30" s="9" t="s">
        <v>106</v>
      </c>
      <c r="M30" s="9" t="s">
        <v>384</v>
      </c>
      <c r="N30" s="9" t="s">
        <v>385</v>
      </c>
      <c r="O30" s="9" t="s">
        <v>539</v>
      </c>
      <c r="P30" s="9" t="s">
        <v>308</v>
      </c>
      <c r="Q30" s="9" t="s">
        <v>540</v>
      </c>
      <c r="R30" s="9" t="s">
        <v>106</v>
      </c>
      <c r="S30" s="9" t="s">
        <v>195</v>
      </c>
    </row>
    <row r="31" customFormat="false" ht="35.05" hidden="false" customHeight="false" outlineLevel="0" collapsed="false">
      <c r="A31" s="16" t="s">
        <v>541</v>
      </c>
      <c r="B31" s="16" t="s">
        <v>192</v>
      </c>
      <c r="C31" s="9" t="s">
        <v>458</v>
      </c>
      <c r="D31" s="9" t="s">
        <v>106</v>
      </c>
      <c r="E31" s="9" t="s">
        <v>542</v>
      </c>
      <c r="F31" s="9" t="s">
        <v>543</v>
      </c>
      <c r="G31" s="9" t="s">
        <v>293</v>
      </c>
      <c r="H31" s="9" t="s">
        <v>106</v>
      </c>
      <c r="I31" s="9" t="s">
        <v>544</v>
      </c>
      <c r="J31" s="9" t="s">
        <v>106</v>
      </c>
      <c r="K31" s="9" t="s">
        <v>281</v>
      </c>
      <c r="L31" s="9" t="s">
        <v>106</v>
      </c>
      <c r="M31" s="9" t="s">
        <v>545</v>
      </c>
      <c r="N31" s="9" t="s">
        <v>306</v>
      </c>
      <c r="O31" s="9" t="s">
        <v>546</v>
      </c>
      <c r="P31" s="9" t="s">
        <v>308</v>
      </c>
      <c r="Q31" s="9" t="s">
        <v>547</v>
      </c>
      <c r="R31" s="9" t="s">
        <v>548</v>
      </c>
      <c r="S31" s="9" t="s">
        <v>534</v>
      </c>
    </row>
    <row r="32" customFormat="false" ht="35.05" hidden="false" customHeight="false" outlineLevel="0" collapsed="false">
      <c r="A32" s="16" t="s">
        <v>549</v>
      </c>
      <c r="B32" s="16" t="s">
        <v>192</v>
      </c>
      <c r="C32" s="9" t="s">
        <v>458</v>
      </c>
      <c r="D32" s="9" t="s">
        <v>106</v>
      </c>
      <c r="E32" s="9" t="s">
        <v>550</v>
      </c>
      <c r="F32" s="9" t="s">
        <v>551</v>
      </c>
      <c r="G32" s="9" t="s">
        <v>293</v>
      </c>
      <c r="H32" s="9" t="s">
        <v>106</v>
      </c>
      <c r="I32" s="9" t="s">
        <v>552</v>
      </c>
      <c r="J32" s="9" t="s">
        <v>106</v>
      </c>
      <c r="K32" s="9" t="s">
        <v>281</v>
      </c>
      <c r="L32" s="9" t="s">
        <v>106</v>
      </c>
      <c r="M32" s="9" t="s">
        <v>305</v>
      </c>
      <c r="N32" s="9" t="s">
        <v>306</v>
      </c>
      <c r="O32" s="9" t="s">
        <v>307</v>
      </c>
      <c r="P32" s="9" t="s">
        <v>308</v>
      </c>
      <c r="Q32" s="9" t="s">
        <v>553</v>
      </c>
      <c r="R32" s="9" t="s">
        <v>554</v>
      </c>
      <c r="S32" s="9" t="s">
        <v>534</v>
      </c>
    </row>
    <row r="33" customFormat="false" ht="68.65" hidden="false" customHeight="false" outlineLevel="0" collapsed="false">
      <c r="A33" s="16" t="s">
        <v>555</v>
      </c>
      <c r="B33" s="16" t="s">
        <v>200</v>
      </c>
      <c r="C33" s="9" t="s">
        <v>556</v>
      </c>
      <c r="D33" s="9" t="s">
        <v>106</v>
      </c>
      <c r="E33" s="9" t="s">
        <v>557</v>
      </c>
      <c r="F33" s="9" t="s">
        <v>558</v>
      </c>
      <c r="G33" s="9" t="s">
        <v>559</v>
      </c>
      <c r="H33" s="9" t="s">
        <v>560</v>
      </c>
      <c r="I33" s="9" t="s">
        <v>561</v>
      </c>
      <c r="J33" s="9" t="s">
        <v>106</v>
      </c>
      <c r="K33" s="9" t="s">
        <v>562</v>
      </c>
      <c r="L33" s="9" t="s">
        <v>106</v>
      </c>
      <c r="M33" s="9" t="s">
        <v>563</v>
      </c>
      <c r="N33" s="9" t="s">
        <v>564</v>
      </c>
      <c r="O33" s="9" t="s">
        <v>565</v>
      </c>
      <c r="P33" s="9" t="s">
        <v>308</v>
      </c>
      <c r="Q33" s="9" t="s">
        <v>566</v>
      </c>
      <c r="R33" s="9" t="s">
        <v>567</v>
      </c>
      <c r="S33" s="9" t="s">
        <v>568</v>
      </c>
    </row>
    <row r="34" customFormat="false" ht="46.25" hidden="false" customHeight="false" outlineLevel="0" collapsed="false">
      <c r="A34" s="16" t="s">
        <v>569</v>
      </c>
      <c r="B34" s="16" t="s">
        <v>200</v>
      </c>
      <c r="C34" s="9" t="s">
        <v>556</v>
      </c>
      <c r="D34" s="9" t="s">
        <v>106</v>
      </c>
      <c r="E34" s="9" t="s">
        <v>570</v>
      </c>
      <c r="F34" s="9" t="s">
        <v>571</v>
      </c>
      <c r="G34" s="9" t="s">
        <v>559</v>
      </c>
      <c r="H34" s="9" t="s">
        <v>572</v>
      </c>
      <c r="I34" s="9" t="s">
        <v>573</v>
      </c>
      <c r="J34" s="9" t="s">
        <v>106</v>
      </c>
      <c r="K34" s="9" t="s">
        <v>562</v>
      </c>
      <c r="L34" s="9" t="s">
        <v>106</v>
      </c>
      <c r="M34" s="9" t="s">
        <v>574</v>
      </c>
      <c r="N34" s="9" t="s">
        <v>564</v>
      </c>
      <c r="O34" s="9" t="s">
        <v>575</v>
      </c>
      <c r="P34" s="9" t="s">
        <v>308</v>
      </c>
      <c r="Q34" s="9" t="s">
        <v>576</v>
      </c>
      <c r="R34" s="9" t="s">
        <v>577</v>
      </c>
      <c r="S34" s="9" t="s">
        <v>568</v>
      </c>
    </row>
    <row r="35" customFormat="false" ht="35.05" hidden="false" customHeight="false" outlineLevel="0" collapsed="false">
      <c r="A35" s="16" t="s">
        <v>578</v>
      </c>
      <c r="B35" s="16" t="s">
        <v>200</v>
      </c>
      <c r="C35" s="9" t="s">
        <v>556</v>
      </c>
      <c r="D35" s="9" t="s">
        <v>106</v>
      </c>
      <c r="E35" s="9" t="s">
        <v>579</v>
      </c>
      <c r="F35" s="9" t="s">
        <v>580</v>
      </c>
      <c r="G35" s="9" t="s">
        <v>581</v>
      </c>
      <c r="H35" s="9" t="s">
        <v>560</v>
      </c>
      <c r="I35" s="9" t="s">
        <v>582</v>
      </c>
      <c r="J35" s="9" t="s">
        <v>106</v>
      </c>
      <c r="K35" s="9" t="s">
        <v>562</v>
      </c>
      <c r="L35" s="9" t="s">
        <v>106</v>
      </c>
      <c r="M35" s="9" t="s">
        <v>583</v>
      </c>
      <c r="N35" s="9" t="s">
        <v>584</v>
      </c>
      <c r="O35" s="9" t="s">
        <v>585</v>
      </c>
      <c r="P35" s="9" t="s">
        <v>106</v>
      </c>
      <c r="Q35" s="9" t="s">
        <v>586</v>
      </c>
      <c r="R35" s="9" t="s">
        <v>587</v>
      </c>
      <c r="S35" s="9" t="s">
        <v>568</v>
      </c>
    </row>
    <row r="36" customFormat="false" ht="35.05" hidden="false" customHeight="false" outlineLevel="0" collapsed="false">
      <c r="A36" s="16" t="s">
        <v>588</v>
      </c>
      <c r="B36" s="16" t="s">
        <v>200</v>
      </c>
      <c r="C36" s="9" t="s">
        <v>556</v>
      </c>
      <c r="D36" s="9" t="s">
        <v>106</v>
      </c>
      <c r="E36" s="9" t="s">
        <v>589</v>
      </c>
      <c r="F36" s="9" t="s">
        <v>590</v>
      </c>
      <c r="G36" s="9" t="s">
        <v>293</v>
      </c>
      <c r="H36" s="9" t="s">
        <v>106</v>
      </c>
      <c r="I36" s="9" t="s">
        <v>591</v>
      </c>
      <c r="J36" s="9" t="s">
        <v>592</v>
      </c>
      <c r="K36" s="9" t="s">
        <v>562</v>
      </c>
      <c r="L36" s="9" t="s">
        <v>106</v>
      </c>
      <c r="M36" s="9" t="s">
        <v>593</v>
      </c>
      <c r="N36" s="9" t="s">
        <v>251</v>
      </c>
      <c r="O36" s="9" t="s">
        <v>594</v>
      </c>
      <c r="P36" s="9" t="s">
        <v>595</v>
      </c>
      <c r="Q36" s="9" t="s">
        <v>596</v>
      </c>
      <c r="R36" s="9" t="s">
        <v>597</v>
      </c>
      <c r="S36" s="9" t="s">
        <v>568</v>
      </c>
    </row>
    <row r="37" customFormat="false" ht="46.25" hidden="false" customHeight="false" outlineLevel="0" collapsed="false">
      <c r="A37" s="16" t="s">
        <v>598</v>
      </c>
      <c r="B37" s="16" t="s">
        <v>200</v>
      </c>
      <c r="C37" s="9" t="s">
        <v>556</v>
      </c>
      <c r="D37" s="9" t="s">
        <v>106</v>
      </c>
      <c r="E37" s="9" t="s">
        <v>599</v>
      </c>
      <c r="F37" s="9" t="s">
        <v>600</v>
      </c>
      <c r="G37" s="9" t="s">
        <v>581</v>
      </c>
      <c r="H37" s="9" t="s">
        <v>395</v>
      </c>
      <c r="I37" s="9" t="s">
        <v>601</v>
      </c>
      <c r="J37" s="9" t="s">
        <v>106</v>
      </c>
      <c r="K37" s="9" t="s">
        <v>562</v>
      </c>
      <c r="L37" s="9" t="s">
        <v>106</v>
      </c>
      <c r="M37" s="9" t="s">
        <v>602</v>
      </c>
      <c r="N37" s="9" t="s">
        <v>603</v>
      </c>
      <c r="O37" s="9" t="s">
        <v>604</v>
      </c>
      <c r="P37" s="9" t="s">
        <v>106</v>
      </c>
      <c r="Q37" s="9" t="s">
        <v>605</v>
      </c>
      <c r="R37" s="9" t="s">
        <v>606</v>
      </c>
      <c r="S37" s="9" t="s">
        <v>568</v>
      </c>
    </row>
    <row r="38" customFormat="false" ht="35.05" hidden="false" customHeight="false" outlineLevel="0" collapsed="false">
      <c r="A38" s="16" t="s">
        <v>607</v>
      </c>
      <c r="B38" s="16" t="s">
        <v>200</v>
      </c>
      <c r="C38" s="9" t="s">
        <v>556</v>
      </c>
      <c r="D38" s="9" t="s">
        <v>106</v>
      </c>
      <c r="E38" s="9" t="s">
        <v>608</v>
      </c>
      <c r="F38" s="9" t="s">
        <v>609</v>
      </c>
      <c r="G38" s="9" t="s">
        <v>293</v>
      </c>
      <c r="H38" s="9" t="s">
        <v>106</v>
      </c>
      <c r="I38" s="9" t="s">
        <v>610</v>
      </c>
      <c r="J38" s="9" t="s">
        <v>106</v>
      </c>
      <c r="K38" s="9" t="s">
        <v>562</v>
      </c>
      <c r="L38" s="9" t="s">
        <v>106</v>
      </c>
      <c r="M38" s="9" t="s">
        <v>611</v>
      </c>
      <c r="N38" s="9" t="s">
        <v>603</v>
      </c>
      <c r="O38" s="9" t="s">
        <v>612</v>
      </c>
      <c r="P38" s="9" t="s">
        <v>106</v>
      </c>
      <c r="Q38" s="9" t="s">
        <v>613</v>
      </c>
      <c r="R38" s="9" t="s">
        <v>606</v>
      </c>
      <c r="S38" s="9" t="s">
        <v>568</v>
      </c>
    </row>
    <row r="39" customFormat="false" ht="35.05" hidden="false" customHeight="false" outlineLevel="0" collapsed="false">
      <c r="A39" s="16" t="s">
        <v>614</v>
      </c>
      <c r="B39" s="16" t="s">
        <v>200</v>
      </c>
      <c r="C39" s="9" t="s">
        <v>615</v>
      </c>
      <c r="D39" s="9" t="s">
        <v>106</v>
      </c>
      <c r="E39" s="9" t="s">
        <v>616</v>
      </c>
      <c r="F39" s="9" t="s">
        <v>617</v>
      </c>
      <c r="G39" s="9" t="s">
        <v>293</v>
      </c>
      <c r="H39" s="9" t="s">
        <v>106</v>
      </c>
      <c r="I39" s="9" t="s">
        <v>618</v>
      </c>
      <c r="J39" s="9" t="s">
        <v>106</v>
      </c>
      <c r="K39" s="9" t="s">
        <v>619</v>
      </c>
      <c r="L39" s="9" t="s">
        <v>106</v>
      </c>
      <c r="M39" s="9" t="s">
        <v>620</v>
      </c>
      <c r="N39" s="9" t="s">
        <v>584</v>
      </c>
      <c r="O39" s="9" t="s">
        <v>621</v>
      </c>
      <c r="P39" s="9" t="s">
        <v>106</v>
      </c>
      <c r="Q39" s="9" t="s">
        <v>622</v>
      </c>
      <c r="R39" s="9" t="s">
        <v>623</v>
      </c>
      <c r="S39" s="9" t="s">
        <v>568</v>
      </c>
    </row>
    <row r="40" customFormat="false" ht="46.25" hidden="false" customHeight="false" outlineLevel="0" collapsed="false">
      <c r="A40" s="16" t="s">
        <v>624</v>
      </c>
      <c r="B40" s="16" t="s">
        <v>200</v>
      </c>
      <c r="C40" s="9" t="s">
        <v>615</v>
      </c>
      <c r="D40" s="9" t="s">
        <v>106</v>
      </c>
      <c r="E40" s="9" t="s">
        <v>625</v>
      </c>
      <c r="F40" s="9" t="s">
        <v>626</v>
      </c>
      <c r="G40" s="9" t="s">
        <v>293</v>
      </c>
      <c r="H40" s="9" t="s">
        <v>106</v>
      </c>
      <c r="I40" s="9" t="s">
        <v>627</v>
      </c>
      <c r="J40" s="9" t="s">
        <v>106</v>
      </c>
      <c r="K40" s="9" t="s">
        <v>619</v>
      </c>
      <c r="L40" s="9" t="s">
        <v>106</v>
      </c>
      <c r="M40" s="9" t="s">
        <v>628</v>
      </c>
      <c r="N40" s="9" t="s">
        <v>603</v>
      </c>
      <c r="O40" s="9" t="s">
        <v>629</v>
      </c>
      <c r="P40" s="9" t="s">
        <v>630</v>
      </c>
      <c r="Q40" s="9" t="s">
        <v>631</v>
      </c>
      <c r="R40" s="9" t="s">
        <v>632</v>
      </c>
      <c r="S40" s="9" t="s">
        <v>568</v>
      </c>
    </row>
    <row r="41" customFormat="false" ht="79.85" hidden="false" customHeight="false" outlineLevel="0" collapsed="false">
      <c r="A41" s="16" t="s">
        <v>633</v>
      </c>
      <c r="B41" s="16" t="s">
        <v>200</v>
      </c>
      <c r="C41" s="9" t="s">
        <v>615</v>
      </c>
      <c r="D41" s="9" t="s">
        <v>106</v>
      </c>
      <c r="E41" s="9" t="s">
        <v>634</v>
      </c>
      <c r="F41" s="9" t="s">
        <v>635</v>
      </c>
      <c r="G41" s="9" t="s">
        <v>293</v>
      </c>
      <c r="H41" s="9" t="s">
        <v>106</v>
      </c>
      <c r="I41" s="9" t="s">
        <v>636</v>
      </c>
      <c r="J41" s="9" t="s">
        <v>106</v>
      </c>
      <c r="K41" s="9" t="s">
        <v>619</v>
      </c>
      <c r="L41" s="9" t="s">
        <v>106</v>
      </c>
      <c r="M41" s="9" t="s">
        <v>637</v>
      </c>
      <c r="N41" s="9" t="s">
        <v>638</v>
      </c>
      <c r="O41" s="9" t="s">
        <v>639</v>
      </c>
      <c r="P41" s="9" t="s">
        <v>640</v>
      </c>
      <c r="Q41" s="9" t="s">
        <v>641</v>
      </c>
      <c r="R41" s="9" t="s">
        <v>642</v>
      </c>
      <c r="S41" s="9" t="s">
        <v>568</v>
      </c>
    </row>
    <row r="42" customFormat="false" ht="35.05" hidden="false" customHeight="false" outlineLevel="0" collapsed="false">
      <c r="A42" s="16" t="s">
        <v>643</v>
      </c>
      <c r="B42" s="16" t="s">
        <v>200</v>
      </c>
      <c r="C42" s="9" t="s">
        <v>615</v>
      </c>
      <c r="D42" s="9" t="s">
        <v>106</v>
      </c>
      <c r="E42" s="9" t="s">
        <v>644</v>
      </c>
      <c r="F42" s="9" t="s">
        <v>645</v>
      </c>
      <c r="G42" s="9" t="s">
        <v>293</v>
      </c>
      <c r="H42" s="9" t="s">
        <v>106</v>
      </c>
      <c r="I42" s="9" t="s">
        <v>646</v>
      </c>
      <c r="J42" s="9" t="s">
        <v>106</v>
      </c>
      <c r="K42" s="9" t="s">
        <v>619</v>
      </c>
      <c r="L42" s="9" t="s">
        <v>106</v>
      </c>
      <c r="M42" s="9" t="s">
        <v>647</v>
      </c>
      <c r="N42" s="9" t="s">
        <v>603</v>
      </c>
      <c r="O42" s="9" t="s">
        <v>648</v>
      </c>
      <c r="P42" s="9" t="s">
        <v>649</v>
      </c>
      <c r="Q42" s="9" t="s">
        <v>576</v>
      </c>
      <c r="R42" s="9" t="s">
        <v>650</v>
      </c>
      <c r="S42" s="9" t="s">
        <v>568</v>
      </c>
    </row>
    <row r="43" customFormat="false" ht="68.65" hidden="false" customHeight="false" outlineLevel="0" collapsed="false">
      <c r="A43" s="15" t="s">
        <v>651</v>
      </c>
      <c r="B43" s="16" t="s">
        <v>208</v>
      </c>
      <c r="C43" s="9" t="s">
        <v>652</v>
      </c>
      <c r="D43" s="9" t="s">
        <v>106</v>
      </c>
      <c r="E43" s="9" t="s">
        <v>653</v>
      </c>
      <c r="F43" s="9" t="s">
        <v>654</v>
      </c>
      <c r="G43" s="9" t="s">
        <v>655</v>
      </c>
      <c r="H43" s="9" t="s">
        <v>656</v>
      </c>
      <c r="I43" s="9" t="s">
        <v>657</v>
      </c>
      <c r="J43" s="9" t="s">
        <v>658</v>
      </c>
      <c r="K43" s="9" t="s">
        <v>659</v>
      </c>
      <c r="L43" s="9" t="s">
        <v>106</v>
      </c>
      <c r="M43" s="9" t="s">
        <v>660</v>
      </c>
      <c r="N43" s="9" t="s">
        <v>212</v>
      </c>
      <c r="O43" s="9" t="s">
        <v>661</v>
      </c>
      <c r="P43" s="9" t="s">
        <v>662</v>
      </c>
      <c r="Q43" s="9" t="s">
        <v>663</v>
      </c>
      <c r="R43" s="9" t="s">
        <v>664</v>
      </c>
      <c r="S43" s="9" t="s">
        <v>665</v>
      </c>
    </row>
    <row r="44" customFormat="false" ht="23.85" hidden="false" customHeight="false" outlineLevel="0" collapsed="false">
      <c r="A44" s="16" t="s">
        <v>666</v>
      </c>
      <c r="B44" s="16" t="s">
        <v>208</v>
      </c>
      <c r="C44" s="9" t="s">
        <v>667</v>
      </c>
      <c r="D44" s="9" t="s">
        <v>106</v>
      </c>
      <c r="E44" s="9" t="s">
        <v>668</v>
      </c>
      <c r="F44" s="9" t="s">
        <v>669</v>
      </c>
      <c r="G44" s="9" t="s">
        <v>293</v>
      </c>
      <c r="H44" s="9" t="s">
        <v>106</v>
      </c>
      <c r="I44" s="9" t="s">
        <v>670</v>
      </c>
      <c r="J44" s="9" t="s">
        <v>671</v>
      </c>
      <c r="K44" s="9" t="s">
        <v>619</v>
      </c>
      <c r="L44" s="9" t="s">
        <v>106</v>
      </c>
      <c r="M44" s="9" t="s">
        <v>106</v>
      </c>
      <c r="N44" s="9" t="s">
        <v>106</v>
      </c>
      <c r="O44" s="9" t="s">
        <v>672</v>
      </c>
      <c r="P44" s="9" t="s">
        <v>106</v>
      </c>
      <c r="Q44" s="9" t="s">
        <v>673</v>
      </c>
      <c r="R44" s="9" t="s">
        <v>674</v>
      </c>
      <c r="S44" s="9" t="s">
        <v>665</v>
      </c>
    </row>
    <row r="45" customFormat="false" ht="35.05" hidden="false" customHeight="false" outlineLevel="0" collapsed="false">
      <c r="A45" s="15" t="s">
        <v>675</v>
      </c>
      <c r="B45" s="16" t="s">
        <v>208</v>
      </c>
      <c r="C45" s="9" t="s">
        <v>667</v>
      </c>
      <c r="D45" s="9" t="s">
        <v>106</v>
      </c>
      <c r="E45" s="9" t="s">
        <v>676</v>
      </c>
      <c r="F45" s="9" t="s">
        <v>677</v>
      </c>
      <c r="G45" s="9" t="s">
        <v>394</v>
      </c>
      <c r="H45" s="9" t="s">
        <v>395</v>
      </c>
      <c r="I45" s="9" t="s">
        <v>678</v>
      </c>
      <c r="J45" s="9" t="s">
        <v>397</v>
      </c>
      <c r="K45" s="9" t="s">
        <v>619</v>
      </c>
      <c r="L45" s="9" t="s">
        <v>106</v>
      </c>
      <c r="M45" s="9" t="s">
        <v>679</v>
      </c>
      <c r="N45" s="9" t="s">
        <v>212</v>
      </c>
      <c r="O45" s="9" t="s">
        <v>680</v>
      </c>
      <c r="P45" s="9" t="s">
        <v>401</v>
      </c>
      <c r="Q45" s="9" t="s">
        <v>681</v>
      </c>
      <c r="R45" s="9" t="s">
        <v>682</v>
      </c>
      <c r="S45" s="9" t="s">
        <v>665</v>
      </c>
    </row>
    <row r="46" customFormat="false" ht="35.05" hidden="false" customHeight="false" outlineLevel="0" collapsed="false">
      <c r="A46" s="16" t="s">
        <v>683</v>
      </c>
      <c r="B46" s="16" t="s">
        <v>208</v>
      </c>
      <c r="C46" s="9" t="s">
        <v>667</v>
      </c>
      <c r="D46" s="9" t="s">
        <v>106</v>
      </c>
      <c r="E46" s="9" t="s">
        <v>684</v>
      </c>
      <c r="F46" s="9" t="s">
        <v>685</v>
      </c>
      <c r="G46" s="9" t="s">
        <v>394</v>
      </c>
      <c r="H46" s="9" t="s">
        <v>395</v>
      </c>
      <c r="I46" s="9" t="s">
        <v>686</v>
      </c>
      <c r="J46" s="9" t="s">
        <v>397</v>
      </c>
      <c r="K46" s="9" t="s">
        <v>619</v>
      </c>
      <c r="L46" s="9" t="s">
        <v>106</v>
      </c>
      <c r="M46" s="9" t="s">
        <v>687</v>
      </c>
      <c r="N46" s="9" t="s">
        <v>212</v>
      </c>
      <c r="O46" s="9" t="s">
        <v>688</v>
      </c>
      <c r="P46" s="9" t="s">
        <v>401</v>
      </c>
      <c r="Q46" s="9" t="s">
        <v>681</v>
      </c>
      <c r="R46" s="9" t="s">
        <v>682</v>
      </c>
      <c r="S46" s="9" t="s">
        <v>665</v>
      </c>
    </row>
    <row r="47" customFormat="false" ht="23.85" hidden="false" customHeight="false" outlineLevel="0" collapsed="false">
      <c r="A47" s="15" t="s">
        <v>689</v>
      </c>
      <c r="B47" s="16" t="s">
        <v>216</v>
      </c>
      <c r="C47" s="9" t="s">
        <v>690</v>
      </c>
      <c r="D47" s="9" t="s">
        <v>106</v>
      </c>
      <c r="E47" s="9" t="s">
        <v>691</v>
      </c>
      <c r="F47" s="9" t="s">
        <v>692</v>
      </c>
      <c r="G47" s="9" t="s">
        <v>693</v>
      </c>
      <c r="H47" s="9" t="s">
        <v>395</v>
      </c>
      <c r="I47" s="9" t="s">
        <v>694</v>
      </c>
      <c r="J47" s="9" t="s">
        <v>695</v>
      </c>
      <c r="K47" s="9" t="s">
        <v>696</v>
      </c>
      <c r="L47" s="9" t="s">
        <v>106</v>
      </c>
      <c r="M47" s="9" t="s">
        <v>697</v>
      </c>
      <c r="N47" s="9" t="s">
        <v>698</v>
      </c>
      <c r="O47" s="9" t="s">
        <v>699</v>
      </c>
      <c r="P47" s="9" t="s">
        <v>308</v>
      </c>
      <c r="Q47" s="9" t="s">
        <v>700</v>
      </c>
      <c r="R47" s="9" t="s">
        <v>106</v>
      </c>
      <c r="S47" s="9" t="s">
        <v>701</v>
      </c>
    </row>
    <row r="48" customFormat="false" ht="46.25" hidden="false" customHeight="false" outlineLevel="0" collapsed="false">
      <c r="A48" s="16" t="s">
        <v>702</v>
      </c>
      <c r="B48" s="16" t="s">
        <v>216</v>
      </c>
      <c r="C48" s="9" t="s">
        <v>690</v>
      </c>
      <c r="D48" s="9" t="s">
        <v>106</v>
      </c>
      <c r="E48" s="9" t="s">
        <v>703</v>
      </c>
      <c r="F48" s="9" t="s">
        <v>704</v>
      </c>
      <c r="G48" s="9" t="s">
        <v>705</v>
      </c>
      <c r="H48" s="9" t="s">
        <v>106</v>
      </c>
      <c r="I48" s="9" t="s">
        <v>706</v>
      </c>
      <c r="J48" s="9" t="s">
        <v>106</v>
      </c>
      <c r="K48" s="9" t="s">
        <v>696</v>
      </c>
      <c r="L48" s="9" t="s">
        <v>106</v>
      </c>
      <c r="M48" s="9" t="s">
        <v>707</v>
      </c>
      <c r="N48" s="9" t="s">
        <v>698</v>
      </c>
      <c r="O48" s="9" t="s">
        <v>708</v>
      </c>
      <c r="P48" s="9" t="s">
        <v>709</v>
      </c>
      <c r="Q48" s="9" t="s">
        <v>700</v>
      </c>
      <c r="R48" s="9" t="s">
        <v>710</v>
      </c>
      <c r="S48" s="9" t="s">
        <v>701</v>
      </c>
    </row>
    <row r="49" customFormat="false" ht="23.85" hidden="false" customHeight="false" outlineLevel="0" collapsed="false">
      <c r="A49" s="16" t="s">
        <v>711</v>
      </c>
      <c r="B49" s="16" t="s">
        <v>216</v>
      </c>
      <c r="C49" s="9" t="s">
        <v>690</v>
      </c>
      <c r="D49" s="9" t="s">
        <v>106</v>
      </c>
      <c r="E49" s="9" t="s">
        <v>712</v>
      </c>
      <c r="F49" s="9" t="s">
        <v>713</v>
      </c>
      <c r="G49" s="9" t="s">
        <v>705</v>
      </c>
      <c r="H49" s="9" t="s">
        <v>106</v>
      </c>
      <c r="I49" s="9" t="s">
        <v>714</v>
      </c>
      <c r="J49" s="9" t="s">
        <v>106</v>
      </c>
      <c r="K49" s="9" t="s">
        <v>696</v>
      </c>
      <c r="L49" s="9" t="s">
        <v>106</v>
      </c>
      <c r="M49" s="9" t="s">
        <v>715</v>
      </c>
      <c r="N49" s="9" t="s">
        <v>698</v>
      </c>
      <c r="O49" s="9" t="s">
        <v>716</v>
      </c>
      <c r="P49" s="9" t="s">
        <v>308</v>
      </c>
      <c r="Q49" s="9" t="s">
        <v>700</v>
      </c>
      <c r="R49" s="9" t="s">
        <v>710</v>
      </c>
      <c r="S49" s="9" t="s">
        <v>701</v>
      </c>
    </row>
    <row r="50" customFormat="false" ht="35.05" hidden="false" customHeight="false" outlineLevel="0" collapsed="false">
      <c r="A50" s="15" t="s">
        <v>717</v>
      </c>
      <c r="B50" s="16" t="s">
        <v>216</v>
      </c>
      <c r="C50" s="9" t="s">
        <v>690</v>
      </c>
      <c r="D50" s="9" t="s">
        <v>106</v>
      </c>
      <c r="E50" s="9" t="s">
        <v>718</v>
      </c>
      <c r="F50" s="9" t="s">
        <v>719</v>
      </c>
      <c r="G50" s="9" t="s">
        <v>705</v>
      </c>
      <c r="H50" s="9" t="s">
        <v>106</v>
      </c>
      <c r="I50" s="9" t="s">
        <v>714</v>
      </c>
      <c r="J50" s="9" t="s">
        <v>106</v>
      </c>
      <c r="K50" s="9" t="s">
        <v>696</v>
      </c>
      <c r="L50" s="9" t="s">
        <v>106</v>
      </c>
      <c r="M50" s="9" t="s">
        <v>720</v>
      </c>
      <c r="N50" s="9" t="s">
        <v>698</v>
      </c>
      <c r="O50" s="9" t="s">
        <v>721</v>
      </c>
      <c r="P50" s="9" t="s">
        <v>722</v>
      </c>
      <c r="Q50" s="9" t="s">
        <v>700</v>
      </c>
      <c r="R50" s="9" t="s">
        <v>223</v>
      </c>
      <c r="S50" s="9" t="s">
        <v>701</v>
      </c>
    </row>
    <row r="51" customFormat="false" ht="23.85" hidden="false" customHeight="false" outlineLevel="0" collapsed="false">
      <c r="A51" s="16" t="s">
        <v>723</v>
      </c>
      <c r="B51" s="16" t="s">
        <v>216</v>
      </c>
      <c r="C51" s="9" t="s">
        <v>690</v>
      </c>
      <c r="D51" s="9" t="s">
        <v>106</v>
      </c>
      <c r="E51" s="9" t="s">
        <v>724</v>
      </c>
      <c r="F51" s="9" t="s">
        <v>725</v>
      </c>
      <c r="G51" s="9" t="s">
        <v>705</v>
      </c>
      <c r="H51" s="9" t="s">
        <v>106</v>
      </c>
      <c r="I51" s="9" t="s">
        <v>726</v>
      </c>
      <c r="J51" s="9" t="s">
        <v>106</v>
      </c>
      <c r="K51" s="9" t="s">
        <v>696</v>
      </c>
      <c r="L51" s="9" t="s">
        <v>106</v>
      </c>
      <c r="M51" s="9" t="s">
        <v>727</v>
      </c>
      <c r="N51" s="9" t="s">
        <v>698</v>
      </c>
      <c r="O51" s="9" t="s">
        <v>728</v>
      </c>
      <c r="P51" s="9" t="s">
        <v>729</v>
      </c>
      <c r="Q51" s="9" t="s">
        <v>730</v>
      </c>
      <c r="R51" s="9" t="s">
        <v>710</v>
      </c>
      <c r="S51" s="9" t="s">
        <v>701</v>
      </c>
    </row>
    <row r="52" customFormat="false" ht="35.05" hidden="false" customHeight="false" outlineLevel="0" collapsed="false">
      <c r="A52" s="16" t="s">
        <v>731</v>
      </c>
      <c r="B52" s="16" t="s">
        <v>216</v>
      </c>
      <c r="C52" s="9" t="s">
        <v>690</v>
      </c>
      <c r="D52" s="9" t="s">
        <v>106</v>
      </c>
      <c r="E52" s="9" t="s">
        <v>732</v>
      </c>
      <c r="F52" s="9" t="s">
        <v>733</v>
      </c>
      <c r="G52" s="9" t="s">
        <v>705</v>
      </c>
      <c r="H52" s="9" t="s">
        <v>106</v>
      </c>
      <c r="I52" s="9" t="s">
        <v>734</v>
      </c>
      <c r="J52" s="9" t="s">
        <v>106</v>
      </c>
      <c r="K52" s="9" t="s">
        <v>696</v>
      </c>
      <c r="L52" s="9" t="s">
        <v>106</v>
      </c>
      <c r="M52" s="9" t="s">
        <v>735</v>
      </c>
      <c r="N52" s="9" t="s">
        <v>698</v>
      </c>
      <c r="O52" s="9" t="s">
        <v>736</v>
      </c>
      <c r="P52" s="9" t="s">
        <v>709</v>
      </c>
      <c r="Q52" s="9" t="s">
        <v>700</v>
      </c>
      <c r="R52" s="9" t="s">
        <v>710</v>
      </c>
      <c r="S52" s="9" t="s">
        <v>701</v>
      </c>
    </row>
    <row r="53" customFormat="false" ht="35.05" hidden="false" customHeight="false" outlineLevel="0" collapsed="false">
      <c r="A53" s="16" t="s">
        <v>737</v>
      </c>
      <c r="B53" s="16" t="s">
        <v>224</v>
      </c>
      <c r="C53" s="9" t="s">
        <v>738</v>
      </c>
      <c r="D53" s="9" t="s">
        <v>106</v>
      </c>
      <c r="E53" s="9" t="s">
        <v>739</v>
      </c>
      <c r="F53" s="9" t="s">
        <v>740</v>
      </c>
      <c r="G53" s="9" t="s">
        <v>741</v>
      </c>
      <c r="H53" s="9" t="s">
        <v>106</v>
      </c>
      <c r="I53" s="9" t="s">
        <v>742</v>
      </c>
      <c r="J53" s="9" t="s">
        <v>106</v>
      </c>
      <c r="K53" s="9" t="s">
        <v>619</v>
      </c>
      <c r="L53" s="9" t="s">
        <v>106</v>
      </c>
      <c r="M53" s="9" t="s">
        <v>106</v>
      </c>
      <c r="N53" s="9" t="s">
        <v>106</v>
      </c>
      <c r="O53" s="9" t="s">
        <v>106</v>
      </c>
      <c r="P53" s="9" t="s">
        <v>106</v>
      </c>
      <c r="Q53" s="9" t="s">
        <v>743</v>
      </c>
      <c r="R53" s="9" t="s">
        <v>744</v>
      </c>
      <c r="S53" s="9" t="s">
        <v>745</v>
      </c>
    </row>
    <row r="54" customFormat="false" ht="46.25" hidden="false" customHeight="false" outlineLevel="0" collapsed="false">
      <c r="A54" s="15" t="s">
        <v>746</v>
      </c>
      <c r="B54" s="16" t="s">
        <v>224</v>
      </c>
      <c r="C54" s="9" t="s">
        <v>747</v>
      </c>
      <c r="D54" s="9" t="s">
        <v>106</v>
      </c>
      <c r="E54" s="9" t="s">
        <v>748</v>
      </c>
      <c r="F54" s="9" t="s">
        <v>749</v>
      </c>
      <c r="G54" s="9" t="s">
        <v>741</v>
      </c>
      <c r="H54" s="9" t="s">
        <v>106</v>
      </c>
      <c r="I54" s="9" t="s">
        <v>750</v>
      </c>
      <c r="J54" s="9" t="s">
        <v>106</v>
      </c>
      <c r="K54" s="9" t="s">
        <v>619</v>
      </c>
      <c r="L54" s="9" t="s">
        <v>106</v>
      </c>
      <c r="M54" s="9" t="s">
        <v>751</v>
      </c>
      <c r="N54" s="9" t="s">
        <v>752</v>
      </c>
      <c r="O54" s="9" t="s">
        <v>753</v>
      </c>
      <c r="P54" s="9" t="s">
        <v>308</v>
      </c>
      <c r="Q54" s="9" t="s">
        <v>754</v>
      </c>
      <c r="R54" s="9" t="s">
        <v>755</v>
      </c>
      <c r="S54" s="9" t="s">
        <v>745</v>
      </c>
    </row>
    <row r="55" customFormat="false" ht="46.25" hidden="false" customHeight="false" outlineLevel="0" collapsed="false">
      <c r="A55" s="15" t="s">
        <v>756</v>
      </c>
      <c r="B55" s="16" t="s">
        <v>224</v>
      </c>
      <c r="C55" s="9" t="s">
        <v>757</v>
      </c>
      <c r="D55" s="9" t="s">
        <v>106</v>
      </c>
      <c r="E55" s="9" t="s">
        <v>758</v>
      </c>
      <c r="F55" s="9" t="s">
        <v>759</v>
      </c>
      <c r="G55" s="9" t="s">
        <v>741</v>
      </c>
      <c r="H55" s="9" t="s">
        <v>106</v>
      </c>
      <c r="I55" s="9" t="s">
        <v>760</v>
      </c>
      <c r="J55" s="9" t="s">
        <v>106</v>
      </c>
      <c r="K55" s="9" t="s">
        <v>619</v>
      </c>
      <c r="L55" s="9" t="s">
        <v>106</v>
      </c>
      <c r="M55" s="9" t="s">
        <v>761</v>
      </c>
      <c r="N55" s="9" t="s">
        <v>762</v>
      </c>
      <c r="O55" s="9" t="s">
        <v>763</v>
      </c>
      <c r="P55" s="9" t="s">
        <v>729</v>
      </c>
      <c r="Q55" s="9" t="s">
        <v>764</v>
      </c>
      <c r="R55" s="9" t="s">
        <v>765</v>
      </c>
      <c r="S55" s="9" t="s">
        <v>745</v>
      </c>
    </row>
    <row r="56" customFormat="false" ht="35.05" hidden="false" customHeight="false" outlineLevel="0" collapsed="false">
      <c r="A56" s="15" t="s">
        <v>766</v>
      </c>
      <c r="B56" s="16" t="s">
        <v>224</v>
      </c>
      <c r="C56" s="9" t="s">
        <v>767</v>
      </c>
      <c r="D56" s="9" t="s">
        <v>106</v>
      </c>
      <c r="E56" s="9" t="s">
        <v>768</v>
      </c>
      <c r="F56" s="9" t="s">
        <v>769</v>
      </c>
      <c r="G56" s="9" t="s">
        <v>741</v>
      </c>
      <c r="H56" s="9" t="s">
        <v>106</v>
      </c>
      <c r="I56" s="9" t="s">
        <v>770</v>
      </c>
      <c r="J56" s="9" t="s">
        <v>106</v>
      </c>
      <c r="K56" s="9" t="s">
        <v>619</v>
      </c>
      <c r="L56" s="9" t="s">
        <v>106</v>
      </c>
      <c r="M56" s="9" t="s">
        <v>106</v>
      </c>
      <c r="N56" s="9" t="s">
        <v>106</v>
      </c>
      <c r="O56" s="9" t="s">
        <v>771</v>
      </c>
      <c r="P56" s="9" t="s">
        <v>106</v>
      </c>
      <c r="Q56" s="9" t="s">
        <v>106</v>
      </c>
      <c r="R56" s="9" t="s">
        <v>106</v>
      </c>
      <c r="S56" s="9" t="s">
        <v>745</v>
      </c>
    </row>
    <row r="57" customFormat="false" ht="35.05" hidden="false" customHeight="false" outlineLevel="0" collapsed="false">
      <c r="A57" s="16" t="s">
        <v>772</v>
      </c>
      <c r="B57" s="16" t="s">
        <v>224</v>
      </c>
      <c r="C57" s="9" t="s">
        <v>773</v>
      </c>
      <c r="D57" s="9" t="s">
        <v>106</v>
      </c>
      <c r="E57" s="9" t="s">
        <v>774</v>
      </c>
      <c r="F57" s="9" t="s">
        <v>775</v>
      </c>
      <c r="G57" s="9" t="s">
        <v>741</v>
      </c>
      <c r="H57" s="9" t="s">
        <v>106</v>
      </c>
      <c r="I57" s="9" t="s">
        <v>776</v>
      </c>
      <c r="J57" s="9" t="s">
        <v>106</v>
      </c>
      <c r="K57" s="9" t="s">
        <v>619</v>
      </c>
      <c r="L57" s="9" t="s">
        <v>777</v>
      </c>
      <c r="M57" s="9" t="s">
        <v>778</v>
      </c>
      <c r="N57" s="9" t="s">
        <v>779</v>
      </c>
      <c r="O57" s="9" t="s">
        <v>780</v>
      </c>
      <c r="P57" s="9" t="s">
        <v>106</v>
      </c>
      <c r="Q57" s="9" t="s">
        <v>781</v>
      </c>
      <c r="R57" s="9" t="s">
        <v>782</v>
      </c>
      <c r="S57" s="9" t="s">
        <v>745</v>
      </c>
    </row>
    <row r="58" customFormat="false" ht="35.05" hidden="false" customHeight="false" outlineLevel="0" collapsed="false">
      <c r="A58" s="16" t="s">
        <v>783</v>
      </c>
      <c r="B58" s="16" t="s">
        <v>224</v>
      </c>
      <c r="C58" s="9" t="s">
        <v>784</v>
      </c>
      <c r="D58" s="9" t="s">
        <v>106</v>
      </c>
      <c r="E58" s="9" t="s">
        <v>785</v>
      </c>
      <c r="F58" s="9" t="s">
        <v>786</v>
      </c>
      <c r="G58" s="9" t="s">
        <v>741</v>
      </c>
      <c r="H58" s="9" t="s">
        <v>106</v>
      </c>
      <c r="I58" s="9" t="s">
        <v>787</v>
      </c>
      <c r="J58" s="9" t="s">
        <v>106</v>
      </c>
      <c r="K58" s="9" t="s">
        <v>619</v>
      </c>
      <c r="L58" s="9" t="s">
        <v>788</v>
      </c>
      <c r="M58" s="9" t="s">
        <v>106</v>
      </c>
      <c r="N58" s="9" t="s">
        <v>789</v>
      </c>
      <c r="O58" s="9" t="s">
        <v>790</v>
      </c>
      <c r="P58" s="9" t="s">
        <v>308</v>
      </c>
      <c r="Q58" s="9" t="s">
        <v>791</v>
      </c>
      <c r="R58" s="9" t="s">
        <v>792</v>
      </c>
      <c r="S58" s="9" t="s">
        <v>745</v>
      </c>
    </row>
    <row r="59" customFormat="false" ht="46.25" hidden="false" customHeight="false" outlineLevel="0" collapsed="false">
      <c r="A59" s="16" t="s">
        <v>793</v>
      </c>
      <c r="B59" s="16" t="s">
        <v>232</v>
      </c>
      <c r="C59" s="9" t="s">
        <v>458</v>
      </c>
      <c r="D59" s="9" t="s">
        <v>106</v>
      </c>
      <c r="E59" s="9" t="s">
        <v>794</v>
      </c>
      <c r="F59" s="9" t="s">
        <v>795</v>
      </c>
      <c r="G59" s="9" t="s">
        <v>741</v>
      </c>
      <c r="H59" s="9" t="s">
        <v>106</v>
      </c>
      <c r="I59" s="9" t="s">
        <v>796</v>
      </c>
      <c r="J59" s="9" t="s">
        <v>106</v>
      </c>
      <c r="K59" s="9" t="s">
        <v>797</v>
      </c>
      <c r="L59" s="9" t="s">
        <v>106</v>
      </c>
      <c r="M59" s="9" t="s">
        <v>106</v>
      </c>
      <c r="N59" s="9" t="s">
        <v>798</v>
      </c>
      <c r="O59" s="9" t="s">
        <v>799</v>
      </c>
      <c r="P59" s="9" t="s">
        <v>308</v>
      </c>
      <c r="Q59" s="9" t="s">
        <v>800</v>
      </c>
      <c r="R59" s="9" t="s">
        <v>238</v>
      </c>
      <c r="S59" s="9" t="s">
        <v>801</v>
      </c>
    </row>
    <row r="60" customFormat="false" ht="46.25" hidden="false" customHeight="false" outlineLevel="0" collapsed="false">
      <c r="A60" s="15" t="s">
        <v>802</v>
      </c>
      <c r="B60" s="16" t="s">
        <v>239</v>
      </c>
      <c r="C60" s="9" t="s">
        <v>458</v>
      </c>
      <c r="D60" s="9" t="s">
        <v>106</v>
      </c>
      <c r="E60" s="9" t="s">
        <v>803</v>
      </c>
      <c r="F60" s="9" t="s">
        <v>804</v>
      </c>
      <c r="G60" s="9" t="s">
        <v>559</v>
      </c>
      <c r="H60" s="9" t="s">
        <v>106</v>
      </c>
      <c r="I60" s="9" t="s">
        <v>805</v>
      </c>
      <c r="J60" s="9" t="s">
        <v>806</v>
      </c>
      <c r="K60" s="9" t="s">
        <v>281</v>
      </c>
      <c r="L60" s="9" t="s">
        <v>807</v>
      </c>
      <c r="M60" s="9" t="s">
        <v>808</v>
      </c>
      <c r="N60" s="9" t="s">
        <v>809</v>
      </c>
      <c r="O60" s="9" t="s">
        <v>810</v>
      </c>
      <c r="P60" s="9" t="s">
        <v>308</v>
      </c>
      <c r="Q60" s="9" t="s">
        <v>811</v>
      </c>
      <c r="R60" s="9" t="s">
        <v>106</v>
      </c>
      <c r="S60" s="9" t="s">
        <v>812</v>
      </c>
    </row>
    <row r="61" customFormat="false" ht="35.05" hidden="false" customHeight="false" outlineLevel="0" collapsed="false">
      <c r="A61" s="16" t="s">
        <v>813</v>
      </c>
      <c r="B61" s="16" t="s">
        <v>239</v>
      </c>
      <c r="C61" s="9" t="s">
        <v>458</v>
      </c>
      <c r="D61" s="9" t="s">
        <v>106</v>
      </c>
      <c r="E61" s="9" t="s">
        <v>814</v>
      </c>
      <c r="F61" s="9" t="s">
        <v>815</v>
      </c>
      <c r="G61" s="9" t="s">
        <v>655</v>
      </c>
      <c r="H61" s="9" t="s">
        <v>106</v>
      </c>
      <c r="I61" s="9" t="s">
        <v>816</v>
      </c>
      <c r="J61" s="9" t="s">
        <v>817</v>
      </c>
      <c r="K61" s="9" t="s">
        <v>281</v>
      </c>
      <c r="L61" s="9" t="s">
        <v>807</v>
      </c>
      <c r="M61" s="9" t="s">
        <v>818</v>
      </c>
      <c r="N61" s="9" t="s">
        <v>809</v>
      </c>
      <c r="O61" s="9" t="s">
        <v>819</v>
      </c>
      <c r="P61" s="9" t="s">
        <v>308</v>
      </c>
      <c r="Q61" s="9" t="s">
        <v>820</v>
      </c>
      <c r="R61" s="9" t="s">
        <v>821</v>
      </c>
      <c r="S61" s="9" t="s">
        <v>812</v>
      </c>
    </row>
    <row r="62" customFormat="false" ht="46.25" hidden="false" customHeight="false" outlineLevel="0" collapsed="false">
      <c r="A62" s="16" t="s">
        <v>822</v>
      </c>
      <c r="B62" s="16" t="s">
        <v>239</v>
      </c>
      <c r="C62" s="9" t="s">
        <v>458</v>
      </c>
      <c r="D62" s="9" t="s">
        <v>106</v>
      </c>
      <c r="E62" s="9" t="s">
        <v>823</v>
      </c>
      <c r="F62" s="9" t="s">
        <v>824</v>
      </c>
      <c r="G62" s="9" t="s">
        <v>559</v>
      </c>
      <c r="H62" s="9" t="s">
        <v>106</v>
      </c>
      <c r="I62" s="9" t="s">
        <v>825</v>
      </c>
      <c r="J62" s="9" t="s">
        <v>826</v>
      </c>
      <c r="K62" s="9" t="s">
        <v>281</v>
      </c>
      <c r="L62" s="9" t="s">
        <v>807</v>
      </c>
      <c r="M62" s="9" t="s">
        <v>827</v>
      </c>
      <c r="N62" s="9" t="s">
        <v>809</v>
      </c>
      <c r="O62" s="9" t="s">
        <v>828</v>
      </c>
      <c r="P62" s="9" t="s">
        <v>829</v>
      </c>
      <c r="Q62" s="9" t="s">
        <v>830</v>
      </c>
      <c r="R62" s="9" t="s">
        <v>831</v>
      </c>
      <c r="S62" s="9" t="s">
        <v>812</v>
      </c>
    </row>
    <row r="63" customFormat="false" ht="46.25" hidden="false" customHeight="false" outlineLevel="0" collapsed="false">
      <c r="A63" s="15" t="s">
        <v>832</v>
      </c>
      <c r="B63" s="16" t="s">
        <v>239</v>
      </c>
      <c r="C63" s="9" t="s">
        <v>458</v>
      </c>
      <c r="D63" s="9" t="s">
        <v>106</v>
      </c>
      <c r="E63" s="9" t="s">
        <v>833</v>
      </c>
      <c r="F63" s="9" t="s">
        <v>834</v>
      </c>
      <c r="G63" s="9" t="s">
        <v>559</v>
      </c>
      <c r="H63" s="9" t="s">
        <v>106</v>
      </c>
      <c r="I63" s="9" t="s">
        <v>835</v>
      </c>
      <c r="J63" s="9" t="s">
        <v>836</v>
      </c>
      <c r="K63" s="9" t="s">
        <v>281</v>
      </c>
      <c r="L63" s="9" t="s">
        <v>807</v>
      </c>
      <c r="M63" s="9" t="s">
        <v>837</v>
      </c>
      <c r="N63" s="9" t="s">
        <v>809</v>
      </c>
      <c r="O63" s="9" t="s">
        <v>838</v>
      </c>
      <c r="P63" s="9" t="s">
        <v>318</v>
      </c>
      <c r="Q63" s="9" t="s">
        <v>839</v>
      </c>
      <c r="R63" s="9" t="s">
        <v>840</v>
      </c>
      <c r="S63" s="9" t="s">
        <v>812</v>
      </c>
    </row>
    <row r="64" customFormat="false" ht="46.25" hidden="false" customHeight="false" outlineLevel="0" collapsed="false">
      <c r="A64" s="16" t="s">
        <v>841</v>
      </c>
      <c r="B64" s="16" t="s">
        <v>239</v>
      </c>
      <c r="C64" s="9" t="s">
        <v>842</v>
      </c>
      <c r="D64" s="9" t="s">
        <v>106</v>
      </c>
      <c r="E64" s="9" t="s">
        <v>843</v>
      </c>
      <c r="F64" s="9" t="s">
        <v>844</v>
      </c>
      <c r="G64" s="9" t="s">
        <v>559</v>
      </c>
      <c r="H64" s="9" t="s">
        <v>106</v>
      </c>
      <c r="I64" s="9" t="s">
        <v>845</v>
      </c>
      <c r="J64" s="9" t="s">
        <v>806</v>
      </c>
      <c r="K64" s="9" t="s">
        <v>846</v>
      </c>
      <c r="L64" s="9" t="s">
        <v>106</v>
      </c>
      <c r="M64" s="9" t="s">
        <v>808</v>
      </c>
      <c r="N64" s="9" t="s">
        <v>847</v>
      </c>
      <c r="O64" s="9" t="s">
        <v>848</v>
      </c>
      <c r="P64" s="9" t="s">
        <v>106</v>
      </c>
      <c r="Q64" s="9" t="s">
        <v>849</v>
      </c>
      <c r="R64" s="9" t="s">
        <v>106</v>
      </c>
      <c r="S64" s="9" t="s">
        <v>850</v>
      </c>
    </row>
    <row r="65" customFormat="false" ht="35.05" hidden="false" customHeight="false" outlineLevel="0" collapsed="false">
      <c r="A65" s="16" t="s">
        <v>851</v>
      </c>
      <c r="B65" s="16" t="s">
        <v>239</v>
      </c>
      <c r="C65" s="9" t="s">
        <v>842</v>
      </c>
      <c r="D65" s="9" t="s">
        <v>106</v>
      </c>
      <c r="E65" s="9" t="s">
        <v>852</v>
      </c>
      <c r="F65" s="9" t="s">
        <v>853</v>
      </c>
      <c r="G65" s="9" t="s">
        <v>655</v>
      </c>
      <c r="H65" s="9" t="s">
        <v>106</v>
      </c>
      <c r="I65" s="9" t="s">
        <v>854</v>
      </c>
      <c r="J65" s="9" t="s">
        <v>855</v>
      </c>
      <c r="K65" s="9" t="s">
        <v>846</v>
      </c>
      <c r="L65" s="9" t="s">
        <v>106</v>
      </c>
      <c r="M65" s="9" t="s">
        <v>818</v>
      </c>
      <c r="N65" s="9" t="s">
        <v>847</v>
      </c>
      <c r="O65" s="9" t="s">
        <v>856</v>
      </c>
      <c r="P65" s="9" t="s">
        <v>106</v>
      </c>
      <c r="Q65" s="9" t="s">
        <v>857</v>
      </c>
      <c r="R65" s="9" t="s">
        <v>106</v>
      </c>
      <c r="S65" s="9" t="s">
        <v>858</v>
      </c>
    </row>
    <row r="66" customFormat="false" ht="35.05" hidden="false" customHeight="false" outlineLevel="0" collapsed="false">
      <c r="A66" s="16" t="s">
        <v>859</v>
      </c>
      <c r="B66" s="16" t="s">
        <v>239</v>
      </c>
      <c r="C66" s="9" t="s">
        <v>842</v>
      </c>
      <c r="D66" s="9" t="s">
        <v>106</v>
      </c>
      <c r="E66" s="9" t="s">
        <v>860</v>
      </c>
      <c r="F66" s="9" t="s">
        <v>861</v>
      </c>
      <c r="G66" s="9" t="s">
        <v>559</v>
      </c>
      <c r="H66" s="9" t="s">
        <v>106</v>
      </c>
      <c r="I66" s="9" t="s">
        <v>862</v>
      </c>
      <c r="J66" s="9" t="s">
        <v>863</v>
      </c>
      <c r="K66" s="9" t="s">
        <v>846</v>
      </c>
      <c r="L66" s="9" t="s">
        <v>106</v>
      </c>
      <c r="M66" s="9" t="s">
        <v>864</v>
      </c>
      <c r="N66" s="9" t="s">
        <v>847</v>
      </c>
      <c r="O66" s="9" t="s">
        <v>865</v>
      </c>
      <c r="P66" s="9" t="s">
        <v>106</v>
      </c>
      <c r="Q66" s="9" t="s">
        <v>866</v>
      </c>
      <c r="R66" s="9" t="s">
        <v>867</v>
      </c>
      <c r="S66" s="9" t="s">
        <v>858</v>
      </c>
    </row>
    <row r="67" customFormat="false" ht="46.25" hidden="false" customHeight="false" outlineLevel="0" collapsed="false">
      <c r="A67" s="16" t="s">
        <v>868</v>
      </c>
      <c r="B67" s="16" t="s">
        <v>38</v>
      </c>
      <c r="C67" s="9" t="s">
        <v>690</v>
      </c>
      <c r="D67" s="9" t="s">
        <v>39</v>
      </c>
      <c r="E67" s="9" t="s">
        <v>869</v>
      </c>
      <c r="F67" s="9" t="s">
        <v>870</v>
      </c>
      <c r="G67" s="9" t="s">
        <v>871</v>
      </c>
      <c r="H67" s="9" t="s">
        <v>395</v>
      </c>
      <c r="I67" s="9" t="s">
        <v>872</v>
      </c>
      <c r="J67" s="9" t="s">
        <v>106</v>
      </c>
      <c r="K67" s="9" t="s">
        <v>873</v>
      </c>
      <c r="L67" s="9" t="s">
        <v>106</v>
      </c>
      <c r="M67" s="9" t="s">
        <v>874</v>
      </c>
      <c r="N67" s="9" t="s">
        <v>875</v>
      </c>
      <c r="O67" s="9" t="s">
        <v>876</v>
      </c>
      <c r="P67" s="9" t="s">
        <v>106</v>
      </c>
      <c r="Q67" s="9" t="s">
        <v>877</v>
      </c>
      <c r="R67" s="9" t="s">
        <v>878</v>
      </c>
      <c r="S67" s="9" t="s">
        <v>879</v>
      </c>
    </row>
    <row r="68" customFormat="false" ht="46.25" hidden="false" customHeight="false" outlineLevel="0" collapsed="false">
      <c r="A68" s="16" t="s">
        <v>880</v>
      </c>
      <c r="B68" s="16" t="s">
        <v>38</v>
      </c>
      <c r="C68" s="9" t="s">
        <v>690</v>
      </c>
      <c r="D68" s="9" t="s">
        <v>39</v>
      </c>
      <c r="E68" s="9" t="s">
        <v>881</v>
      </c>
      <c r="F68" s="9" t="s">
        <v>882</v>
      </c>
      <c r="G68" s="9" t="s">
        <v>705</v>
      </c>
      <c r="H68" s="9" t="s">
        <v>106</v>
      </c>
      <c r="I68" s="9" t="s">
        <v>883</v>
      </c>
      <c r="J68" s="9" t="s">
        <v>106</v>
      </c>
      <c r="K68" s="9" t="s">
        <v>873</v>
      </c>
      <c r="L68" s="9" t="s">
        <v>106</v>
      </c>
      <c r="M68" s="9" t="s">
        <v>884</v>
      </c>
      <c r="N68" s="9" t="s">
        <v>875</v>
      </c>
      <c r="O68" s="9" t="s">
        <v>885</v>
      </c>
      <c r="P68" s="9" t="s">
        <v>106</v>
      </c>
      <c r="Q68" s="9" t="s">
        <v>886</v>
      </c>
      <c r="R68" s="9" t="s">
        <v>878</v>
      </c>
      <c r="S68" s="9" t="s">
        <v>879</v>
      </c>
    </row>
    <row r="69" customFormat="false" ht="46.25" hidden="false" customHeight="false" outlineLevel="0" collapsed="false">
      <c r="A69" s="15" t="s">
        <v>887</v>
      </c>
      <c r="B69" s="16" t="s">
        <v>38</v>
      </c>
      <c r="C69" s="9" t="s">
        <v>690</v>
      </c>
      <c r="D69" s="9" t="s">
        <v>39</v>
      </c>
      <c r="E69" s="9" t="s">
        <v>888</v>
      </c>
      <c r="F69" s="9" t="s">
        <v>889</v>
      </c>
      <c r="G69" s="9" t="s">
        <v>705</v>
      </c>
      <c r="H69" s="9" t="s">
        <v>106</v>
      </c>
      <c r="I69" s="9" t="s">
        <v>106</v>
      </c>
      <c r="J69" s="9" t="s">
        <v>106</v>
      </c>
      <c r="K69" s="9" t="s">
        <v>873</v>
      </c>
      <c r="L69" s="9" t="s">
        <v>106</v>
      </c>
      <c r="M69" s="9" t="s">
        <v>890</v>
      </c>
      <c r="N69" s="9" t="s">
        <v>875</v>
      </c>
      <c r="O69" s="9" t="s">
        <v>891</v>
      </c>
      <c r="P69" s="9" t="s">
        <v>106</v>
      </c>
      <c r="Q69" s="9" t="s">
        <v>886</v>
      </c>
      <c r="R69" s="9" t="s">
        <v>878</v>
      </c>
      <c r="S69" s="9" t="s">
        <v>879</v>
      </c>
    </row>
    <row r="70" customFormat="false" ht="46.25" hidden="false" customHeight="false" outlineLevel="0" collapsed="false">
      <c r="A70" s="16" t="s">
        <v>892</v>
      </c>
      <c r="B70" s="16" t="s">
        <v>38</v>
      </c>
      <c r="C70" s="9" t="s">
        <v>690</v>
      </c>
      <c r="D70" s="9" t="s">
        <v>39</v>
      </c>
      <c r="E70" s="9" t="s">
        <v>893</v>
      </c>
      <c r="F70" s="9" t="s">
        <v>894</v>
      </c>
      <c r="G70" s="9" t="s">
        <v>27</v>
      </c>
      <c r="H70" s="9" t="s">
        <v>106</v>
      </c>
      <c r="I70" s="9" t="s">
        <v>895</v>
      </c>
      <c r="J70" s="9" t="s">
        <v>106</v>
      </c>
      <c r="K70" s="9" t="s">
        <v>873</v>
      </c>
      <c r="L70" s="9" t="s">
        <v>106</v>
      </c>
      <c r="M70" s="9" t="s">
        <v>896</v>
      </c>
      <c r="N70" s="9" t="s">
        <v>875</v>
      </c>
      <c r="O70" s="9" t="s">
        <v>897</v>
      </c>
      <c r="P70" s="9" t="s">
        <v>308</v>
      </c>
      <c r="Q70" s="9" t="s">
        <v>886</v>
      </c>
      <c r="R70" s="9" t="s">
        <v>878</v>
      </c>
      <c r="S70" s="9" t="s">
        <v>879</v>
      </c>
    </row>
    <row r="71" customFormat="false" ht="46.25" hidden="false" customHeight="false" outlineLevel="0" collapsed="false">
      <c r="A71" s="16" t="s">
        <v>898</v>
      </c>
      <c r="B71" s="16" t="s">
        <v>38</v>
      </c>
      <c r="C71" s="9" t="s">
        <v>690</v>
      </c>
      <c r="D71" s="9" t="s">
        <v>39</v>
      </c>
      <c r="E71" s="9" t="s">
        <v>899</v>
      </c>
      <c r="F71" s="9" t="s">
        <v>900</v>
      </c>
      <c r="G71" s="9" t="s">
        <v>705</v>
      </c>
      <c r="H71" s="9" t="s">
        <v>106</v>
      </c>
      <c r="I71" s="9" t="s">
        <v>901</v>
      </c>
      <c r="J71" s="9" t="s">
        <v>106</v>
      </c>
      <c r="K71" s="9" t="s">
        <v>873</v>
      </c>
      <c r="L71" s="9" t="s">
        <v>106</v>
      </c>
      <c r="M71" s="9" t="s">
        <v>902</v>
      </c>
      <c r="N71" s="9" t="s">
        <v>875</v>
      </c>
      <c r="O71" s="9" t="s">
        <v>903</v>
      </c>
      <c r="P71" s="9" t="s">
        <v>904</v>
      </c>
      <c r="Q71" s="9" t="s">
        <v>905</v>
      </c>
      <c r="R71" s="9" t="s">
        <v>906</v>
      </c>
      <c r="S71" s="9" t="s">
        <v>879</v>
      </c>
    </row>
    <row r="72" customFormat="false" ht="46.25" hidden="false" customHeight="false" outlineLevel="0" collapsed="false">
      <c r="A72" s="16" t="s">
        <v>907</v>
      </c>
      <c r="B72" s="16" t="s">
        <v>38</v>
      </c>
      <c r="C72" s="9" t="s">
        <v>690</v>
      </c>
      <c r="D72" s="9" t="s">
        <v>39</v>
      </c>
      <c r="E72" s="9" t="s">
        <v>908</v>
      </c>
      <c r="F72" s="9" t="s">
        <v>909</v>
      </c>
      <c r="G72" s="9" t="s">
        <v>705</v>
      </c>
      <c r="H72" s="9" t="s">
        <v>106</v>
      </c>
      <c r="I72" s="9" t="s">
        <v>910</v>
      </c>
      <c r="J72" s="9" t="s">
        <v>106</v>
      </c>
      <c r="K72" s="9" t="s">
        <v>873</v>
      </c>
      <c r="L72" s="9" t="s">
        <v>106</v>
      </c>
      <c r="M72" s="9" t="s">
        <v>911</v>
      </c>
      <c r="N72" s="9" t="s">
        <v>875</v>
      </c>
      <c r="O72" s="9" t="s">
        <v>912</v>
      </c>
      <c r="P72" s="9" t="s">
        <v>106</v>
      </c>
      <c r="Q72" s="9" t="s">
        <v>913</v>
      </c>
      <c r="R72" s="9" t="s">
        <v>914</v>
      </c>
      <c r="S72" s="9" t="s">
        <v>879</v>
      </c>
    </row>
    <row r="73" customFormat="false" ht="46.25" hidden="false" customHeight="false" outlineLevel="0" collapsed="false">
      <c r="A73" s="16" t="s">
        <v>915</v>
      </c>
      <c r="B73" s="16" t="s">
        <v>38</v>
      </c>
      <c r="C73" s="9" t="s">
        <v>690</v>
      </c>
      <c r="D73" s="9" t="s">
        <v>39</v>
      </c>
      <c r="E73" s="9" t="s">
        <v>916</v>
      </c>
      <c r="F73" s="9" t="s">
        <v>917</v>
      </c>
      <c r="G73" s="9" t="s">
        <v>705</v>
      </c>
      <c r="H73" s="9" t="s">
        <v>106</v>
      </c>
      <c r="I73" s="9" t="s">
        <v>918</v>
      </c>
      <c r="J73" s="9" t="s">
        <v>106</v>
      </c>
      <c r="K73" s="9" t="s">
        <v>873</v>
      </c>
      <c r="L73" s="9" t="s">
        <v>106</v>
      </c>
      <c r="M73" s="9" t="s">
        <v>919</v>
      </c>
      <c r="N73" s="9" t="s">
        <v>875</v>
      </c>
      <c r="O73" s="9" t="s">
        <v>920</v>
      </c>
      <c r="P73" s="9" t="s">
        <v>106</v>
      </c>
      <c r="Q73" s="9" t="s">
        <v>886</v>
      </c>
      <c r="R73" s="9" t="s">
        <v>106</v>
      </c>
      <c r="S73" s="9" t="s">
        <v>879</v>
      </c>
    </row>
    <row r="74" customFormat="false" ht="46.25" hidden="false" customHeight="false" outlineLevel="0" collapsed="false">
      <c r="A74" s="16" t="s">
        <v>921</v>
      </c>
      <c r="B74" s="16" t="s">
        <v>38</v>
      </c>
      <c r="C74" s="9" t="s">
        <v>690</v>
      </c>
      <c r="D74" s="9" t="s">
        <v>39</v>
      </c>
      <c r="E74" s="9" t="s">
        <v>922</v>
      </c>
      <c r="F74" s="9" t="s">
        <v>923</v>
      </c>
      <c r="G74" s="9" t="s">
        <v>705</v>
      </c>
      <c r="H74" s="9" t="s">
        <v>106</v>
      </c>
      <c r="I74" s="9" t="s">
        <v>924</v>
      </c>
      <c r="J74" s="9" t="s">
        <v>106</v>
      </c>
      <c r="K74" s="9" t="s">
        <v>873</v>
      </c>
      <c r="L74" s="9" t="s">
        <v>106</v>
      </c>
      <c r="M74" s="9" t="s">
        <v>925</v>
      </c>
      <c r="N74" s="9" t="s">
        <v>875</v>
      </c>
      <c r="O74" s="9" t="s">
        <v>926</v>
      </c>
      <c r="P74" s="9" t="s">
        <v>106</v>
      </c>
      <c r="Q74" s="9" t="s">
        <v>927</v>
      </c>
      <c r="R74" s="9" t="s">
        <v>878</v>
      </c>
      <c r="S74" s="9" t="s">
        <v>879</v>
      </c>
    </row>
    <row r="75" customFormat="false" ht="46.25" hidden="false" customHeight="false" outlineLevel="0" collapsed="false">
      <c r="A75" s="16" t="s">
        <v>928</v>
      </c>
      <c r="B75" s="16" t="s">
        <v>38</v>
      </c>
      <c r="C75" s="9" t="s">
        <v>690</v>
      </c>
      <c r="D75" s="9" t="s">
        <v>39</v>
      </c>
      <c r="E75" s="9" t="s">
        <v>929</v>
      </c>
      <c r="F75" s="9" t="s">
        <v>930</v>
      </c>
      <c r="G75" s="9" t="s">
        <v>705</v>
      </c>
      <c r="H75" s="9" t="s">
        <v>106</v>
      </c>
      <c r="I75" s="9" t="s">
        <v>106</v>
      </c>
      <c r="J75" s="9" t="s">
        <v>106</v>
      </c>
      <c r="K75" s="9" t="s">
        <v>873</v>
      </c>
      <c r="L75" s="9" t="s">
        <v>106</v>
      </c>
      <c r="M75" s="9" t="s">
        <v>931</v>
      </c>
      <c r="N75" s="9" t="s">
        <v>875</v>
      </c>
      <c r="O75" s="9" t="s">
        <v>932</v>
      </c>
      <c r="P75" s="9" t="s">
        <v>106</v>
      </c>
      <c r="Q75" s="9" t="s">
        <v>886</v>
      </c>
      <c r="R75" s="9" t="s">
        <v>878</v>
      </c>
      <c r="S75" s="9" t="s">
        <v>879</v>
      </c>
    </row>
    <row r="76" customFormat="false" ht="46.25" hidden="false" customHeight="false" outlineLevel="0" collapsed="false">
      <c r="A76" s="16" t="s">
        <v>933</v>
      </c>
      <c r="B76" s="16" t="s">
        <v>38</v>
      </c>
      <c r="C76" s="9" t="s">
        <v>690</v>
      </c>
      <c r="D76" s="9" t="s">
        <v>39</v>
      </c>
      <c r="E76" s="9" t="s">
        <v>934</v>
      </c>
      <c r="F76" s="9" t="s">
        <v>935</v>
      </c>
      <c r="G76" s="9" t="s">
        <v>705</v>
      </c>
      <c r="H76" s="9" t="s">
        <v>106</v>
      </c>
      <c r="I76" s="9" t="s">
        <v>936</v>
      </c>
      <c r="J76" s="9" t="s">
        <v>106</v>
      </c>
      <c r="K76" s="9" t="s">
        <v>873</v>
      </c>
      <c r="L76" s="9" t="s">
        <v>937</v>
      </c>
      <c r="M76" s="9" t="s">
        <v>938</v>
      </c>
      <c r="N76" s="9" t="s">
        <v>875</v>
      </c>
      <c r="O76" s="9" t="s">
        <v>939</v>
      </c>
      <c r="P76" s="9" t="s">
        <v>106</v>
      </c>
      <c r="Q76" s="9" t="s">
        <v>886</v>
      </c>
      <c r="R76" s="9" t="s">
        <v>878</v>
      </c>
      <c r="S76" s="9" t="s">
        <v>879</v>
      </c>
    </row>
    <row r="77" customFormat="false" ht="35.05" hidden="false" customHeight="false" outlineLevel="0" collapsed="false">
      <c r="A77" s="16" t="s">
        <v>940</v>
      </c>
      <c r="B77" s="16" t="s">
        <v>38</v>
      </c>
      <c r="C77" s="9" t="s">
        <v>941</v>
      </c>
      <c r="D77" s="9" t="s">
        <v>39</v>
      </c>
      <c r="E77" s="9" t="s">
        <v>942</v>
      </c>
      <c r="F77" s="9" t="s">
        <v>943</v>
      </c>
      <c r="G77" s="9" t="s">
        <v>581</v>
      </c>
      <c r="H77" s="9" t="s">
        <v>560</v>
      </c>
      <c r="I77" s="9" t="s">
        <v>944</v>
      </c>
      <c r="J77" s="9" t="s">
        <v>945</v>
      </c>
      <c r="K77" s="9" t="s">
        <v>946</v>
      </c>
      <c r="L77" s="9" t="s">
        <v>947</v>
      </c>
      <c r="M77" s="9" t="s">
        <v>902</v>
      </c>
      <c r="N77" s="9" t="s">
        <v>948</v>
      </c>
      <c r="O77" s="9" t="s">
        <v>949</v>
      </c>
      <c r="P77" s="9" t="s">
        <v>904</v>
      </c>
      <c r="Q77" s="9" t="s">
        <v>950</v>
      </c>
      <c r="R77" s="9" t="s">
        <v>906</v>
      </c>
      <c r="S77" s="9" t="s">
        <v>879</v>
      </c>
    </row>
    <row r="78" customFormat="false" ht="35.05" hidden="false" customHeight="false" outlineLevel="0" collapsed="false">
      <c r="A78" s="16" t="s">
        <v>951</v>
      </c>
      <c r="B78" s="16" t="s">
        <v>38</v>
      </c>
      <c r="C78" s="9" t="s">
        <v>952</v>
      </c>
      <c r="D78" s="9" t="s">
        <v>39</v>
      </c>
      <c r="E78" s="9" t="s">
        <v>953</v>
      </c>
      <c r="F78" s="9" t="s">
        <v>954</v>
      </c>
      <c r="G78" s="9" t="s">
        <v>559</v>
      </c>
      <c r="H78" s="9" t="s">
        <v>560</v>
      </c>
      <c r="I78" s="9" t="s">
        <v>955</v>
      </c>
      <c r="J78" s="9" t="s">
        <v>106</v>
      </c>
      <c r="K78" s="9" t="s">
        <v>946</v>
      </c>
      <c r="L78" s="9" t="s">
        <v>956</v>
      </c>
      <c r="M78" s="9" t="s">
        <v>957</v>
      </c>
      <c r="N78" s="9" t="s">
        <v>958</v>
      </c>
      <c r="O78" s="9" t="s">
        <v>959</v>
      </c>
      <c r="P78" s="9" t="s">
        <v>308</v>
      </c>
      <c r="Q78" s="9" t="s">
        <v>960</v>
      </c>
      <c r="R78" s="9" t="s">
        <v>961</v>
      </c>
      <c r="S78" s="9" t="s">
        <v>879</v>
      </c>
    </row>
    <row r="79" customFormat="false" ht="35.05" hidden="false" customHeight="false" outlineLevel="0" collapsed="false">
      <c r="A79" s="16" t="s">
        <v>962</v>
      </c>
      <c r="B79" s="16" t="s">
        <v>38</v>
      </c>
      <c r="C79" s="9" t="s">
        <v>952</v>
      </c>
      <c r="D79" s="9" t="s">
        <v>39</v>
      </c>
      <c r="E79" s="9" t="s">
        <v>963</v>
      </c>
      <c r="F79" s="9" t="s">
        <v>964</v>
      </c>
      <c r="G79" s="9" t="s">
        <v>965</v>
      </c>
      <c r="H79" s="9" t="s">
        <v>560</v>
      </c>
      <c r="I79" s="9" t="s">
        <v>966</v>
      </c>
      <c r="J79" s="9" t="s">
        <v>106</v>
      </c>
      <c r="K79" s="9" t="s">
        <v>946</v>
      </c>
      <c r="L79" s="9" t="s">
        <v>106</v>
      </c>
      <c r="M79" s="9" t="s">
        <v>967</v>
      </c>
      <c r="N79" s="9" t="s">
        <v>968</v>
      </c>
      <c r="O79" s="9" t="s">
        <v>969</v>
      </c>
      <c r="P79" s="9" t="s">
        <v>308</v>
      </c>
      <c r="Q79" s="9" t="s">
        <v>927</v>
      </c>
      <c r="R79" s="9" t="s">
        <v>961</v>
      </c>
      <c r="S79" s="9" t="s">
        <v>879</v>
      </c>
    </row>
    <row r="80" customFormat="false" ht="23.85" hidden="false" customHeight="false" outlineLevel="0" collapsed="false">
      <c r="A80" s="16" t="s">
        <v>970</v>
      </c>
      <c r="B80" s="16" t="s">
        <v>38</v>
      </c>
      <c r="C80" s="9" t="s">
        <v>952</v>
      </c>
      <c r="D80" s="9" t="s">
        <v>39</v>
      </c>
      <c r="E80" s="9" t="s">
        <v>971</v>
      </c>
      <c r="F80" s="9" t="s">
        <v>972</v>
      </c>
      <c r="G80" s="9" t="s">
        <v>581</v>
      </c>
      <c r="H80" s="9" t="s">
        <v>560</v>
      </c>
      <c r="I80" s="9" t="s">
        <v>973</v>
      </c>
      <c r="J80" s="9" t="s">
        <v>106</v>
      </c>
      <c r="K80" s="9" t="s">
        <v>946</v>
      </c>
      <c r="L80" s="9" t="s">
        <v>947</v>
      </c>
      <c r="M80" s="9" t="s">
        <v>902</v>
      </c>
      <c r="N80" s="9" t="s">
        <v>968</v>
      </c>
      <c r="O80" s="9" t="s">
        <v>949</v>
      </c>
      <c r="P80" s="9" t="s">
        <v>904</v>
      </c>
      <c r="Q80" s="9" t="s">
        <v>927</v>
      </c>
      <c r="R80" s="9" t="s">
        <v>974</v>
      </c>
      <c r="S80" s="9" t="s">
        <v>879</v>
      </c>
    </row>
    <row r="81" customFormat="false" ht="46.25" hidden="false" customHeight="false" outlineLevel="0" collapsed="false">
      <c r="A81" s="16" t="s">
        <v>975</v>
      </c>
      <c r="B81" s="16" t="s">
        <v>38</v>
      </c>
      <c r="C81" s="9" t="s">
        <v>952</v>
      </c>
      <c r="D81" s="9" t="s">
        <v>39</v>
      </c>
      <c r="E81" s="9" t="s">
        <v>976</v>
      </c>
      <c r="F81" s="9" t="s">
        <v>977</v>
      </c>
      <c r="G81" s="9" t="s">
        <v>705</v>
      </c>
      <c r="H81" s="9" t="s">
        <v>106</v>
      </c>
      <c r="I81" s="9" t="s">
        <v>978</v>
      </c>
      <c r="J81" s="9" t="s">
        <v>106</v>
      </c>
      <c r="K81" s="9" t="s">
        <v>873</v>
      </c>
      <c r="L81" s="9" t="s">
        <v>106</v>
      </c>
      <c r="M81" s="9" t="s">
        <v>979</v>
      </c>
      <c r="N81" s="9" t="s">
        <v>875</v>
      </c>
      <c r="O81" s="9" t="s">
        <v>980</v>
      </c>
      <c r="P81" s="9" t="s">
        <v>981</v>
      </c>
      <c r="Q81" s="9" t="s">
        <v>982</v>
      </c>
      <c r="R81" s="9" t="s">
        <v>983</v>
      </c>
      <c r="S81" s="9" t="s">
        <v>879</v>
      </c>
    </row>
    <row r="82" customFormat="false" ht="46.25" hidden="false" customHeight="false" outlineLevel="0" collapsed="false">
      <c r="A82" s="16" t="s">
        <v>984</v>
      </c>
      <c r="B82" s="16" t="s">
        <v>38</v>
      </c>
      <c r="C82" s="9" t="s">
        <v>985</v>
      </c>
      <c r="D82" s="9" t="s">
        <v>986</v>
      </c>
      <c r="E82" s="9" t="s">
        <v>987</v>
      </c>
      <c r="F82" s="9" t="s">
        <v>988</v>
      </c>
      <c r="G82" s="9" t="s">
        <v>705</v>
      </c>
      <c r="H82" s="9" t="s">
        <v>106</v>
      </c>
      <c r="I82" s="9" t="s">
        <v>989</v>
      </c>
      <c r="J82" s="9" t="s">
        <v>106</v>
      </c>
      <c r="K82" s="9" t="s">
        <v>873</v>
      </c>
      <c r="L82" s="9" t="s">
        <v>106</v>
      </c>
      <c r="M82" s="9" t="s">
        <v>902</v>
      </c>
      <c r="N82" s="9" t="s">
        <v>990</v>
      </c>
      <c r="O82" s="9" t="s">
        <v>903</v>
      </c>
      <c r="P82" s="9" t="s">
        <v>904</v>
      </c>
      <c r="Q82" s="9" t="s">
        <v>991</v>
      </c>
      <c r="R82" s="9" t="s">
        <v>878</v>
      </c>
      <c r="S82" s="9" t="s">
        <v>992</v>
      </c>
    </row>
    <row r="83" customFormat="false" ht="46.25" hidden="false" customHeight="false" outlineLevel="0" collapsed="false">
      <c r="A83" s="16" t="s">
        <v>993</v>
      </c>
      <c r="B83" s="16" t="s">
        <v>38</v>
      </c>
      <c r="C83" s="9" t="s">
        <v>985</v>
      </c>
      <c r="D83" s="9" t="s">
        <v>986</v>
      </c>
      <c r="E83" s="9" t="s">
        <v>994</v>
      </c>
      <c r="F83" s="9" t="s">
        <v>995</v>
      </c>
      <c r="G83" s="9" t="s">
        <v>705</v>
      </c>
      <c r="H83" s="9" t="s">
        <v>106</v>
      </c>
      <c r="I83" s="9" t="s">
        <v>996</v>
      </c>
      <c r="J83" s="9" t="s">
        <v>106</v>
      </c>
      <c r="K83" s="9" t="s">
        <v>873</v>
      </c>
      <c r="L83" s="9" t="s">
        <v>106</v>
      </c>
      <c r="M83" s="9" t="s">
        <v>997</v>
      </c>
      <c r="N83" s="9" t="s">
        <v>998</v>
      </c>
      <c r="O83" s="9" t="s">
        <v>999</v>
      </c>
      <c r="P83" s="9" t="s">
        <v>1000</v>
      </c>
      <c r="Q83" s="9" t="s">
        <v>1001</v>
      </c>
      <c r="R83" s="9" t="s">
        <v>1002</v>
      </c>
      <c r="S83" s="9" t="s">
        <v>992</v>
      </c>
    </row>
    <row r="84" customFormat="false" ht="46.25" hidden="false" customHeight="false" outlineLevel="0" collapsed="false">
      <c r="A84" s="16" t="s">
        <v>1003</v>
      </c>
      <c r="B84" s="16" t="s">
        <v>38</v>
      </c>
      <c r="C84" s="9" t="s">
        <v>985</v>
      </c>
      <c r="D84" s="9" t="s">
        <v>986</v>
      </c>
      <c r="E84" s="9" t="s">
        <v>1004</v>
      </c>
      <c r="F84" s="9" t="s">
        <v>1005</v>
      </c>
      <c r="G84" s="9" t="s">
        <v>293</v>
      </c>
      <c r="H84" s="9" t="s">
        <v>106</v>
      </c>
      <c r="I84" s="9" t="s">
        <v>1006</v>
      </c>
      <c r="J84" s="9" t="s">
        <v>106</v>
      </c>
      <c r="K84" s="9" t="s">
        <v>873</v>
      </c>
      <c r="L84" s="9" t="s">
        <v>1007</v>
      </c>
      <c r="M84" s="9" t="s">
        <v>1008</v>
      </c>
      <c r="N84" s="9" t="s">
        <v>1009</v>
      </c>
      <c r="O84" s="9" t="s">
        <v>1010</v>
      </c>
      <c r="P84" s="9" t="s">
        <v>401</v>
      </c>
      <c r="Q84" s="9" t="s">
        <v>886</v>
      </c>
      <c r="R84" s="9" t="s">
        <v>1011</v>
      </c>
      <c r="S84" s="9" t="s">
        <v>992</v>
      </c>
    </row>
    <row r="85" customFormat="false" ht="35.05" hidden="false" customHeight="false" outlineLevel="0" collapsed="false">
      <c r="A85" s="16" t="s">
        <v>1012</v>
      </c>
      <c r="B85" s="16" t="s">
        <v>38</v>
      </c>
      <c r="C85" s="9" t="s">
        <v>985</v>
      </c>
      <c r="D85" s="9" t="s">
        <v>986</v>
      </c>
      <c r="E85" s="9" t="s">
        <v>1013</v>
      </c>
      <c r="F85" s="9" t="s">
        <v>1014</v>
      </c>
      <c r="G85" s="9" t="s">
        <v>293</v>
      </c>
      <c r="H85" s="9" t="s">
        <v>106</v>
      </c>
      <c r="I85" s="9" t="s">
        <v>1015</v>
      </c>
      <c r="J85" s="9" t="s">
        <v>106</v>
      </c>
      <c r="K85" s="9" t="s">
        <v>1016</v>
      </c>
      <c r="L85" s="9" t="s">
        <v>106</v>
      </c>
      <c r="M85" s="9" t="s">
        <v>1017</v>
      </c>
      <c r="N85" s="9" t="s">
        <v>1018</v>
      </c>
      <c r="O85" s="9" t="s">
        <v>1019</v>
      </c>
      <c r="P85" s="9" t="s">
        <v>106</v>
      </c>
      <c r="Q85" s="9" t="s">
        <v>1020</v>
      </c>
      <c r="R85" s="9" t="s">
        <v>1021</v>
      </c>
      <c r="S85" s="9" t="s">
        <v>992</v>
      </c>
    </row>
    <row r="86" customFormat="false" ht="46.25" hidden="false" customHeight="false" outlineLevel="0" collapsed="false">
      <c r="A86" s="16" t="s">
        <v>1022</v>
      </c>
      <c r="B86" s="16" t="s">
        <v>38</v>
      </c>
      <c r="C86" s="9" t="s">
        <v>985</v>
      </c>
      <c r="D86" s="9" t="s">
        <v>986</v>
      </c>
      <c r="E86" s="9" t="s">
        <v>1023</v>
      </c>
      <c r="F86" s="9" t="s">
        <v>1024</v>
      </c>
      <c r="G86" s="9" t="s">
        <v>293</v>
      </c>
      <c r="H86" s="9" t="s">
        <v>106</v>
      </c>
      <c r="I86" s="9" t="s">
        <v>1025</v>
      </c>
      <c r="J86" s="9" t="s">
        <v>106</v>
      </c>
      <c r="K86" s="9" t="s">
        <v>1016</v>
      </c>
      <c r="L86" s="9" t="s">
        <v>106</v>
      </c>
      <c r="M86" s="9" t="s">
        <v>1026</v>
      </c>
      <c r="N86" s="9" t="s">
        <v>1018</v>
      </c>
      <c r="O86" s="9" t="s">
        <v>1027</v>
      </c>
      <c r="P86" s="9" t="s">
        <v>106</v>
      </c>
      <c r="Q86" s="9" t="s">
        <v>1020</v>
      </c>
      <c r="R86" s="9" t="s">
        <v>1021</v>
      </c>
      <c r="S86" s="9" t="s">
        <v>992</v>
      </c>
    </row>
    <row r="87" customFormat="false" ht="35.05" hidden="false" customHeight="false" outlineLevel="0" collapsed="false">
      <c r="A87" s="16" t="s">
        <v>1028</v>
      </c>
      <c r="B87" s="16" t="s">
        <v>38</v>
      </c>
      <c r="C87" s="9" t="s">
        <v>985</v>
      </c>
      <c r="D87" s="9" t="s">
        <v>986</v>
      </c>
      <c r="E87" s="9" t="s">
        <v>1029</v>
      </c>
      <c r="F87" s="9" t="s">
        <v>1030</v>
      </c>
      <c r="G87" s="9" t="s">
        <v>293</v>
      </c>
      <c r="H87" s="9" t="s">
        <v>106</v>
      </c>
      <c r="I87" s="9" t="s">
        <v>1031</v>
      </c>
      <c r="J87" s="9" t="s">
        <v>106</v>
      </c>
      <c r="K87" s="9" t="s">
        <v>1016</v>
      </c>
      <c r="L87" s="9" t="s">
        <v>106</v>
      </c>
      <c r="M87" s="9" t="s">
        <v>1032</v>
      </c>
      <c r="N87" s="9" t="s">
        <v>1018</v>
      </c>
      <c r="O87" s="9" t="s">
        <v>1027</v>
      </c>
      <c r="P87" s="9" t="s">
        <v>106</v>
      </c>
      <c r="Q87" s="9" t="s">
        <v>1020</v>
      </c>
      <c r="R87" s="9" t="s">
        <v>1021</v>
      </c>
      <c r="S87" s="9" t="s">
        <v>992</v>
      </c>
    </row>
    <row r="88" customFormat="false" ht="35.05" hidden="false" customHeight="false" outlineLevel="0" collapsed="false">
      <c r="A88" s="16" t="s">
        <v>1033</v>
      </c>
      <c r="B88" s="16" t="s">
        <v>38</v>
      </c>
      <c r="C88" s="9" t="s">
        <v>985</v>
      </c>
      <c r="D88" s="9" t="s">
        <v>986</v>
      </c>
      <c r="E88" s="9" t="s">
        <v>1034</v>
      </c>
      <c r="F88" s="9" t="s">
        <v>1035</v>
      </c>
      <c r="G88" s="9" t="s">
        <v>293</v>
      </c>
      <c r="H88" s="9" t="s">
        <v>106</v>
      </c>
      <c r="I88" s="9" t="s">
        <v>1036</v>
      </c>
      <c r="J88" s="9" t="s">
        <v>106</v>
      </c>
      <c r="K88" s="9" t="s">
        <v>1037</v>
      </c>
      <c r="L88" s="9" t="s">
        <v>106</v>
      </c>
      <c r="M88" s="9" t="s">
        <v>1038</v>
      </c>
      <c r="N88" s="9" t="s">
        <v>1018</v>
      </c>
      <c r="O88" s="9" t="s">
        <v>1039</v>
      </c>
      <c r="P88" s="9" t="s">
        <v>106</v>
      </c>
      <c r="Q88" s="9" t="s">
        <v>1020</v>
      </c>
      <c r="R88" s="9" t="s">
        <v>1021</v>
      </c>
      <c r="S88" s="9" t="s">
        <v>992</v>
      </c>
    </row>
    <row r="89" customFormat="false" ht="35.05" hidden="false" customHeight="false" outlineLevel="0" collapsed="false">
      <c r="A89" s="16" t="s">
        <v>1040</v>
      </c>
      <c r="B89" s="16" t="s">
        <v>38</v>
      </c>
      <c r="C89" s="9" t="s">
        <v>985</v>
      </c>
      <c r="D89" s="9" t="s">
        <v>986</v>
      </c>
      <c r="E89" s="9" t="s">
        <v>1041</v>
      </c>
      <c r="F89" s="9" t="s">
        <v>1042</v>
      </c>
      <c r="G89" s="9" t="s">
        <v>1043</v>
      </c>
      <c r="H89" s="9" t="s">
        <v>560</v>
      </c>
      <c r="I89" s="9" t="s">
        <v>1044</v>
      </c>
      <c r="J89" s="9" t="s">
        <v>106</v>
      </c>
      <c r="K89" s="9" t="s">
        <v>1045</v>
      </c>
      <c r="L89" s="9" t="s">
        <v>1046</v>
      </c>
      <c r="M89" s="9" t="s">
        <v>1047</v>
      </c>
      <c r="N89" s="9" t="s">
        <v>1048</v>
      </c>
      <c r="O89" s="9" t="s">
        <v>1049</v>
      </c>
      <c r="P89" s="9" t="s">
        <v>308</v>
      </c>
      <c r="Q89" s="9" t="s">
        <v>1001</v>
      </c>
      <c r="R89" s="9" t="s">
        <v>1050</v>
      </c>
      <c r="S89" s="9" t="s">
        <v>992</v>
      </c>
    </row>
    <row r="90" customFormat="false" ht="68.65" hidden="false" customHeight="false" outlineLevel="0" collapsed="false">
      <c r="A90" s="16" t="s">
        <v>1051</v>
      </c>
      <c r="B90" s="16" t="s">
        <v>38</v>
      </c>
      <c r="C90" s="9" t="s">
        <v>985</v>
      </c>
      <c r="D90" s="9" t="s">
        <v>986</v>
      </c>
      <c r="E90" s="9" t="s">
        <v>1052</v>
      </c>
      <c r="F90" s="9" t="s">
        <v>1053</v>
      </c>
      <c r="G90" s="9" t="s">
        <v>1043</v>
      </c>
      <c r="H90" s="9" t="s">
        <v>560</v>
      </c>
      <c r="I90" s="9" t="s">
        <v>1054</v>
      </c>
      <c r="J90" s="9" t="s">
        <v>106</v>
      </c>
      <c r="K90" s="9" t="s">
        <v>1055</v>
      </c>
      <c r="L90" s="9" t="s">
        <v>1056</v>
      </c>
      <c r="M90" s="9" t="s">
        <v>1057</v>
      </c>
      <c r="N90" s="9" t="s">
        <v>1058</v>
      </c>
      <c r="O90" s="9" t="s">
        <v>1059</v>
      </c>
      <c r="P90" s="9" t="s">
        <v>318</v>
      </c>
      <c r="Q90" s="9" t="s">
        <v>1001</v>
      </c>
      <c r="R90" s="9" t="s">
        <v>1060</v>
      </c>
      <c r="S90" s="9" t="s">
        <v>992</v>
      </c>
    </row>
    <row r="91" customFormat="false" ht="46.25" hidden="false" customHeight="false" outlineLevel="0" collapsed="false">
      <c r="A91" s="16" t="s">
        <v>1061</v>
      </c>
      <c r="B91" s="16" t="s">
        <v>38</v>
      </c>
      <c r="C91" s="9" t="s">
        <v>985</v>
      </c>
      <c r="D91" s="9" t="s">
        <v>986</v>
      </c>
      <c r="E91" s="9" t="s">
        <v>1062</v>
      </c>
      <c r="F91" s="9" t="s">
        <v>1063</v>
      </c>
      <c r="G91" s="9" t="s">
        <v>293</v>
      </c>
      <c r="H91" s="9" t="s">
        <v>106</v>
      </c>
      <c r="I91" s="9" t="s">
        <v>1064</v>
      </c>
      <c r="J91" s="9" t="s">
        <v>106</v>
      </c>
      <c r="K91" s="9" t="s">
        <v>873</v>
      </c>
      <c r="L91" s="9" t="s">
        <v>106</v>
      </c>
      <c r="M91" s="9" t="s">
        <v>1065</v>
      </c>
      <c r="N91" s="9" t="s">
        <v>1009</v>
      </c>
      <c r="O91" s="9" t="s">
        <v>1066</v>
      </c>
      <c r="P91" s="9" t="s">
        <v>318</v>
      </c>
      <c r="Q91" s="9" t="s">
        <v>1067</v>
      </c>
      <c r="R91" s="9" t="s">
        <v>1068</v>
      </c>
      <c r="S91" s="9" t="s">
        <v>992</v>
      </c>
    </row>
    <row r="92" customFormat="false" ht="35.05" hidden="false" customHeight="false" outlineLevel="0" collapsed="false">
      <c r="A92" s="16" t="s">
        <v>1069</v>
      </c>
      <c r="B92" s="16" t="s">
        <v>38</v>
      </c>
      <c r="C92" s="9" t="s">
        <v>985</v>
      </c>
      <c r="D92" s="9" t="s">
        <v>986</v>
      </c>
      <c r="E92" s="9" t="s">
        <v>1070</v>
      </c>
      <c r="F92" s="9" t="s">
        <v>1071</v>
      </c>
      <c r="G92" s="9" t="s">
        <v>1072</v>
      </c>
      <c r="H92" s="9" t="s">
        <v>1073</v>
      </c>
      <c r="I92" s="9" t="s">
        <v>1074</v>
      </c>
      <c r="J92" s="9" t="s">
        <v>106</v>
      </c>
      <c r="K92" s="9" t="s">
        <v>1075</v>
      </c>
      <c r="L92" s="9" t="s">
        <v>1076</v>
      </c>
      <c r="M92" s="9" t="s">
        <v>1077</v>
      </c>
      <c r="N92" s="9" t="s">
        <v>1078</v>
      </c>
      <c r="O92" s="9" t="s">
        <v>1079</v>
      </c>
      <c r="P92" s="9" t="s">
        <v>729</v>
      </c>
      <c r="Q92" s="9" t="s">
        <v>1080</v>
      </c>
      <c r="R92" s="9" t="s">
        <v>1081</v>
      </c>
      <c r="S92" s="9" t="s">
        <v>992</v>
      </c>
    </row>
    <row r="93" customFormat="false" ht="35.05" hidden="false" customHeight="false" outlineLevel="0" collapsed="false">
      <c r="A93" s="16" t="s">
        <v>1082</v>
      </c>
      <c r="B93" s="16" t="s">
        <v>38</v>
      </c>
      <c r="C93" s="9" t="s">
        <v>985</v>
      </c>
      <c r="D93" s="9" t="s">
        <v>986</v>
      </c>
      <c r="E93" s="9" t="s">
        <v>1083</v>
      </c>
      <c r="F93" s="9" t="s">
        <v>1084</v>
      </c>
      <c r="G93" s="9" t="s">
        <v>1043</v>
      </c>
      <c r="H93" s="9" t="s">
        <v>560</v>
      </c>
      <c r="I93" s="9" t="s">
        <v>1085</v>
      </c>
      <c r="J93" s="9" t="s">
        <v>106</v>
      </c>
      <c r="K93" s="9" t="s">
        <v>1086</v>
      </c>
      <c r="L93" s="9" t="s">
        <v>1087</v>
      </c>
      <c r="M93" s="9" t="s">
        <v>1088</v>
      </c>
      <c r="N93" s="9" t="s">
        <v>1089</v>
      </c>
      <c r="O93" s="9" t="s">
        <v>1090</v>
      </c>
      <c r="P93" s="9" t="s">
        <v>308</v>
      </c>
      <c r="Q93" s="9" t="s">
        <v>1067</v>
      </c>
      <c r="R93" s="9" t="s">
        <v>1081</v>
      </c>
      <c r="S93" s="9" t="s">
        <v>992</v>
      </c>
    </row>
    <row r="94" customFormat="false" ht="46.25" hidden="false" customHeight="false" outlineLevel="0" collapsed="false">
      <c r="A94" s="16" t="s">
        <v>1091</v>
      </c>
      <c r="B94" s="16" t="s">
        <v>38</v>
      </c>
      <c r="C94" s="9" t="s">
        <v>985</v>
      </c>
      <c r="D94" s="9" t="s">
        <v>1092</v>
      </c>
      <c r="E94" s="9" t="s">
        <v>1093</v>
      </c>
      <c r="F94" s="9" t="s">
        <v>1094</v>
      </c>
      <c r="G94" s="9" t="s">
        <v>705</v>
      </c>
      <c r="H94" s="9" t="s">
        <v>106</v>
      </c>
      <c r="I94" s="9" t="s">
        <v>1095</v>
      </c>
      <c r="J94" s="9" t="s">
        <v>106</v>
      </c>
      <c r="K94" s="9" t="s">
        <v>873</v>
      </c>
      <c r="L94" s="9" t="s">
        <v>106</v>
      </c>
      <c r="M94" s="9" t="s">
        <v>1096</v>
      </c>
      <c r="N94" s="9" t="s">
        <v>998</v>
      </c>
      <c r="O94" s="9" t="s">
        <v>1097</v>
      </c>
      <c r="P94" s="9" t="s">
        <v>1098</v>
      </c>
      <c r="Q94" s="9" t="s">
        <v>1067</v>
      </c>
      <c r="R94" s="9" t="s">
        <v>1099</v>
      </c>
      <c r="S94" s="9" t="s">
        <v>992</v>
      </c>
    </row>
    <row r="95" customFormat="false" ht="46.25" hidden="false" customHeight="false" outlineLevel="0" collapsed="false">
      <c r="A95" s="16" t="s">
        <v>1100</v>
      </c>
      <c r="B95" s="16" t="s">
        <v>38</v>
      </c>
      <c r="C95" s="9" t="s">
        <v>985</v>
      </c>
      <c r="D95" s="9" t="s">
        <v>1092</v>
      </c>
      <c r="E95" s="9" t="s">
        <v>1101</v>
      </c>
      <c r="F95" s="9" t="s">
        <v>1102</v>
      </c>
      <c r="G95" s="9" t="s">
        <v>705</v>
      </c>
      <c r="H95" s="9" t="s">
        <v>106</v>
      </c>
      <c r="I95" s="9" t="s">
        <v>1103</v>
      </c>
      <c r="J95" s="9" t="s">
        <v>106</v>
      </c>
      <c r="K95" s="9" t="s">
        <v>873</v>
      </c>
      <c r="L95" s="9" t="s">
        <v>106</v>
      </c>
      <c r="M95" s="9" t="s">
        <v>305</v>
      </c>
      <c r="N95" s="9" t="s">
        <v>1104</v>
      </c>
      <c r="O95" s="9" t="s">
        <v>1105</v>
      </c>
      <c r="P95" s="9" t="s">
        <v>308</v>
      </c>
      <c r="Q95" s="9" t="s">
        <v>1067</v>
      </c>
      <c r="R95" s="9" t="s">
        <v>1068</v>
      </c>
      <c r="S95" s="9" t="s">
        <v>992</v>
      </c>
    </row>
    <row r="96" customFormat="false" ht="46.25" hidden="false" customHeight="false" outlineLevel="0" collapsed="false">
      <c r="A96" s="16" t="s">
        <v>1106</v>
      </c>
      <c r="B96" s="16" t="s">
        <v>38</v>
      </c>
      <c r="C96" s="9" t="s">
        <v>985</v>
      </c>
      <c r="D96" s="9" t="s">
        <v>1092</v>
      </c>
      <c r="E96" s="9" t="s">
        <v>1107</v>
      </c>
      <c r="F96" s="9" t="s">
        <v>1108</v>
      </c>
      <c r="G96" s="9" t="s">
        <v>705</v>
      </c>
      <c r="H96" s="9" t="s">
        <v>106</v>
      </c>
      <c r="I96" s="9" t="s">
        <v>106</v>
      </c>
      <c r="J96" s="9" t="s">
        <v>106</v>
      </c>
      <c r="K96" s="9" t="s">
        <v>873</v>
      </c>
      <c r="L96" s="9" t="s">
        <v>106</v>
      </c>
      <c r="M96" s="9" t="s">
        <v>1109</v>
      </c>
      <c r="N96" s="9" t="s">
        <v>1104</v>
      </c>
      <c r="O96" s="9" t="s">
        <v>1110</v>
      </c>
      <c r="P96" s="9" t="s">
        <v>520</v>
      </c>
      <c r="Q96" s="9" t="s">
        <v>1067</v>
      </c>
      <c r="R96" s="9" t="s">
        <v>1002</v>
      </c>
      <c r="S96" s="9" t="s">
        <v>992</v>
      </c>
    </row>
    <row r="97" customFormat="false" ht="46.25" hidden="false" customHeight="false" outlineLevel="0" collapsed="false">
      <c r="A97" s="16" t="s">
        <v>1111</v>
      </c>
      <c r="B97" s="16" t="s">
        <v>38</v>
      </c>
      <c r="C97" s="9" t="s">
        <v>985</v>
      </c>
      <c r="D97" s="9" t="s">
        <v>1092</v>
      </c>
      <c r="E97" s="9" t="s">
        <v>1112</v>
      </c>
      <c r="F97" s="9" t="s">
        <v>1113</v>
      </c>
      <c r="G97" s="9" t="s">
        <v>705</v>
      </c>
      <c r="H97" s="9" t="s">
        <v>106</v>
      </c>
      <c r="I97" s="9" t="s">
        <v>106</v>
      </c>
      <c r="J97" s="9" t="s">
        <v>106</v>
      </c>
      <c r="K97" s="9" t="s">
        <v>873</v>
      </c>
      <c r="L97" s="9" t="s">
        <v>106</v>
      </c>
      <c r="M97" s="9" t="s">
        <v>1114</v>
      </c>
      <c r="N97" s="9" t="s">
        <v>1104</v>
      </c>
      <c r="O97" s="9" t="s">
        <v>1115</v>
      </c>
      <c r="P97" s="9" t="s">
        <v>520</v>
      </c>
      <c r="Q97" s="9" t="s">
        <v>1067</v>
      </c>
      <c r="R97" s="9" t="s">
        <v>1002</v>
      </c>
      <c r="S97" s="9" t="s">
        <v>992</v>
      </c>
    </row>
    <row r="98" customFormat="false" ht="46.25" hidden="false" customHeight="false" outlineLevel="0" collapsed="false">
      <c r="A98" s="15" t="s">
        <v>1116</v>
      </c>
      <c r="B98" s="16" t="s">
        <v>38</v>
      </c>
      <c r="C98" s="9" t="s">
        <v>985</v>
      </c>
      <c r="D98" s="9" t="s">
        <v>1092</v>
      </c>
      <c r="E98" s="9" t="s">
        <v>1117</v>
      </c>
      <c r="F98" s="9" t="s">
        <v>1118</v>
      </c>
      <c r="G98" s="9" t="s">
        <v>705</v>
      </c>
      <c r="H98" s="9" t="s">
        <v>106</v>
      </c>
      <c r="I98" s="9" t="s">
        <v>1119</v>
      </c>
      <c r="J98" s="9" t="s">
        <v>106</v>
      </c>
      <c r="K98" s="9" t="s">
        <v>873</v>
      </c>
      <c r="L98" s="9" t="s">
        <v>106</v>
      </c>
      <c r="M98" s="9" t="s">
        <v>1120</v>
      </c>
      <c r="N98" s="9" t="s">
        <v>1104</v>
      </c>
      <c r="O98" s="9" t="s">
        <v>1121</v>
      </c>
      <c r="P98" s="9" t="s">
        <v>729</v>
      </c>
      <c r="Q98" s="9" t="s">
        <v>1067</v>
      </c>
      <c r="R98" s="9" t="s">
        <v>1002</v>
      </c>
      <c r="S98" s="9" t="s">
        <v>992</v>
      </c>
    </row>
    <row r="99" customFormat="false" ht="46.25" hidden="false" customHeight="false" outlineLevel="0" collapsed="false">
      <c r="A99" s="16" t="s">
        <v>1122</v>
      </c>
      <c r="B99" s="16" t="s">
        <v>38</v>
      </c>
      <c r="C99" s="9" t="s">
        <v>985</v>
      </c>
      <c r="D99" s="9" t="s">
        <v>1092</v>
      </c>
      <c r="E99" s="9" t="s">
        <v>1123</v>
      </c>
      <c r="F99" s="9" t="s">
        <v>1124</v>
      </c>
      <c r="G99" s="9" t="s">
        <v>705</v>
      </c>
      <c r="H99" s="9" t="s">
        <v>106</v>
      </c>
      <c r="I99" s="9" t="s">
        <v>1125</v>
      </c>
      <c r="J99" s="9" t="s">
        <v>106</v>
      </c>
      <c r="K99" s="9" t="s">
        <v>873</v>
      </c>
      <c r="L99" s="9" t="s">
        <v>106</v>
      </c>
      <c r="M99" s="9" t="s">
        <v>1047</v>
      </c>
      <c r="N99" s="9" t="s">
        <v>1104</v>
      </c>
      <c r="O99" s="9" t="s">
        <v>1126</v>
      </c>
      <c r="P99" s="9" t="s">
        <v>308</v>
      </c>
      <c r="Q99" s="9" t="s">
        <v>1067</v>
      </c>
      <c r="R99" s="9" t="s">
        <v>1002</v>
      </c>
      <c r="S99" s="9" t="s">
        <v>992</v>
      </c>
    </row>
    <row r="100" customFormat="false" ht="46.25" hidden="false" customHeight="false" outlineLevel="0" collapsed="false">
      <c r="A100" s="16" t="s">
        <v>1127</v>
      </c>
      <c r="B100" s="16" t="s">
        <v>38</v>
      </c>
      <c r="C100" s="9" t="s">
        <v>985</v>
      </c>
      <c r="D100" s="9" t="s">
        <v>1092</v>
      </c>
      <c r="E100" s="9" t="s">
        <v>1128</v>
      </c>
      <c r="F100" s="9" t="s">
        <v>1129</v>
      </c>
      <c r="G100" s="9" t="s">
        <v>293</v>
      </c>
      <c r="H100" s="9" t="s">
        <v>106</v>
      </c>
      <c r="I100" s="9" t="s">
        <v>106</v>
      </c>
      <c r="J100" s="9" t="s">
        <v>106</v>
      </c>
      <c r="K100" s="9" t="s">
        <v>873</v>
      </c>
      <c r="L100" s="9" t="s">
        <v>106</v>
      </c>
      <c r="M100" s="9" t="s">
        <v>1130</v>
      </c>
      <c r="N100" s="9" t="s">
        <v>1009</v>
      </c>
      <c r="O100" s="9" t="s">
        <v>1131</v>
      </c>
      <c r="P100" s="9" t="s">
        <v>904</v>
      </c>
      <c r="Q100" s="9" t="s">
        <v>1067</v>
      </c>
      <c r="R100" s="9" t="s">
        <v>1132</v>
      </c>
      <c r="S100" s="9" t="s">
        <v>992</v>
      </c>
    </row>
    <row r="101" customFormat="false" ht="46.25" hidden="false" customHeight="false" outlineLevel="0" collapsed="false">
      <c r="A101" s="16" t="s">
        <v>1133</v>
      </c>
      <c r="B101" s="16" t="s">
        <v>38</v>
      </c>
      <c r="C101" s="9" t="s">
        <v>985</v>
      </c>
      <c r="D101" s="9" t="s">
        <v>1092</v>
      </c>
      <c r="E101" s="9" t="s">
        <v>1134</v>
      </c>
      <c r="F101" s="9" t="s">
        <v>1135</v>
      </c>
      <c r="G101" s="9" t="s">
        <v>1043</v>
      </c>
      <c r="H101" s="9" t="s">
        <v>560</v>
      </c>
      <c r="I101" s="9" t="s">
        <v>1136</v>
      </c>
      <c r="J101" s="9" t="s">
        <v>106</v>
      </c>
      <c r="K101" s="9" t="s">
        <v>1137</v>
      </c>
      <c r="L101" s="9" t="s">
        <v>1087</v>
      </c>
      <c r="M101" s="9" t="s">
        <v>1138</v>
      </c>
      <c r="N101" s="9" t="s">
        <v>1139</v>
      </c>
      <c r="O101" s="9" t="s">
        <v>1140</v>
      </c>
      <c r="P101" s="9" t="s">
        <v>1141</v>
      </c>
      <c r="Q101" s="9" t="s">
        <v>1067</v>
      </c>
      <c r="R101" s="9" t="s">
        <v>1142</v>
      </c>
      <c r="S101" s="9" t="s">
        <v>992</v>
      </c>
    </row>
    <row r="102" customFormat="false" ht="46.25" hidden="false" customHeight="false" outlineLevel="0" collapsed="false">
      <c r="A102" s="15" t="s">
        <v>1143</v>
      </c>
      <c r="B102" s="16" t="s">
        <v>38</v>
      </c>
      <c r="C102" s="9" t="s">
        <v>985</v>
      </c>
      <c r="D102" s="9" t="s">
        <v>986</v>
      </c>
      <c r="E102" s="9" t="s">
        <v>1144</v>
      </c>
      <c r="F102" s="9" t="s">
        <v>1145</v>
      </c>
      <c r="G102" s="9" t="s">
        <v>1043</v>
      </c>
      <c r="H102" s="9" t="s">
        <v>560</v>
      </c>
      <c r="I102" s="9" t="s">
        <v>1146</v>
      </c>
      <c r="J102" s="9" t="s">
        <v>106</v>
      </c>
      <c r="K102" s="9" t="s">
        <v>1147</v>
      </c>
      <c r="L102" s="9" t="s">
        <v>1087</v>
      </c>
      <c r="M102" s="9" t="s">
        <v>1148</v>
      </c>
      <c r="N102" s="9" t="s">
        <v>1149</v>
      </c>
      <c r="O102" s="9" t="s">
        <v>1150</v>
      </c>
      <c r="P102" s="9" t="s">
        <v>106</v>
      </c>
      <c r="Q102" s="9" t="s">
        <v>1151</v>
      </c>
      <c r="R102" s="9" t="s">
        <v>1152</v>
      </c>
      <c r="S102" s="9" t="s">
        <v>992</v>
      </c>
    </row>
    <row r="103" customFormat="false" ht="46.25" hidden="false" customHeight="false" outlineLevel="0" collapsed="false">
      <c r="A103" s="15" t="s">
        <v>1153</v>
      </c>
      <c r="B103" s="16" t="s">
        <v>38</v>
      </c>
      <c r="C103" s="9" t="s">
        <v>985</v>
      </c>
      <c r="D103" s="9" t="s">
        <v>986</v>
      </c>
      <c r="E103" s="9" t="s">
        <v>1154</v>
      </c>
      <c r="F103" s="9" t="s">
        <v>1155</v>
      </c>
      <c r="G103" s="9" t="s">
        <v>293</v>
      </c>
      <c r="H103" s="9" t="s">
        <v>106</v>
      </c>
      <c r="I103" s="9" t="s">
        <v>1156</v>
      </c>
      <c r="J103" s="9" t="s">
        <v>106</v>
      </c>
      <c r="K103" s="9" t="s">
        <v>873</v>
      </c>
      <c r="L103" s="9" t="s">
        <v>106</v>
      </c>
      <c r="M103" s="9" t="s">
        <v>1157</v>
      </c>
      <c r="N103" s="9" t="s">
        <v>1158</v>
      </c>
      <c r="O103" s="9" t="s">
        <v>1159</v>
      </c>
      <c r="P103" s="9" t="s">
        <v>1160</v>
      </c>
      <c r="Q103" s="9" t="s">
        <v>1151</v>
      </c>
      <c r="R103" s="9" t="s">
        <v>1152</v>
      </c>
      <c r="S103" s="9" t="s">
        <v>992</v>
      </c>
    </row>
    <row r="104" customFormat="false" ht="35.05" hidden="false" customHeight="false" outlineLevel="0" collapsed="false">
      <c r="A104" s="16" t="s">
        <v>1161</v>
      </c>
      <c r="B104" s="16" t="s">
        <v>38</v>
      </c>
      <c r="C104" s="9" t="s">
        <v>985</v>
      </c>
      <c r="D104" s="9" t="s">
        <v>986</v>
      </c>
      <c r="E104" s="9" t="s">
        <v>1162</v>
      </c>
      <c r="F104" s="9" t="s">
        <v>1163</v>
      </c>
      <c r="G104" s="9" t="s">
        <v>278</v>
      </c>
      <c r="H104" s="9" t="s">
        <v>106</v>
      </c>
      <c r="I104" s="9" t="s">
        <v>1164</v>
      </c>
      <c r="J104" s="9" t="s">
        <v>106</v>
      </c>
      <c r="K104" s="9" t="s">
        <v>1165</v>
      </c>
      <c r="L104" s="9" t="s">
        <v>106</v>
      </c>
      <c r="M104" s="9" t="s">
        <v>1166</v>
      </c>
      <c r="N104" s="9" t="s">
        <v>1167</v>
      </c>
      <c r="O104" s="9" t="s">
        <v>1168</v>
      </c>
      <c r="P104" s="9" t="s">
        <v>106</v>
      </c>
      <c r="Q104" s="9" t="s">
        <v>1169</v>
      </c>
      <c r="R104" s="9" t="s">
        <v>1170</v>
      </c>
      <c r="S104" s="9" t="s">
        <v>992</v>
      </c>
    </row>
    <row r="105" customFormat="false" ht="35.05" hidden="false" customHeight="false" outlineLevel="0" collapsed="false">
      <c r="A105" s="16" t="s">
        <v>1171</v>
      </c>
      <c r="B105" s="16" t="s">
        <v>38</v>
      </c>
      <c r="C105" s="9" t="s">
        <v>985</v>
      </c>
      <c r="D105" s="9" t="s">
        <v>986</v>
      </c>
      <c r="E105" s="9" t="s">
        <v>1172</v>
      </c>
      <c r="F105" s="9" t="s">
        <v>1173</v>
      </c>
      <c r="G105" s="9" t="s">
        <v>293</v>
      </c>
      <c r="H105" s="9" t="s">
        <v>106</v>
      </c>
      <c r="I105" s="9" t="s">
        <v>1174</v>
      </c>
      <c r="J105" s="9" t="s">
        <v>106</v>
      </c>
      <c r="K105" s="9" t="s">
        <v>1175</v>
      </c>
      <c r="L105" s="9" t="s">
        <v>1176</v>
      </c>
      <c r="M105" s="9" t="s">
        <v>1177</v>
      </c>
      <c r="N105" s="9" t="s">
        <v>1178</v>
      </c>
      <c r="O105" s="9" t="s">
        <v>1179</v>
      </c>
      <c r="P105" s="9" t="s">
        <v>1180</v>
      </c>
      <c r="Q105" s="9" t="s">
        <v>1181</v>
      </c>
      <c r="R105" s="9" t="s">
        <v>1182</v>
      </c>
      <c r="S105" s="9" t="s">
        <v>992</v>
      </c>
    </row>
    <row r="106" customFormat="false" ht="57.45" hidden="false" customHeight="false" outlineLevel="0" collapsed="false">
      <c r="A106" s="16" t="s">
        <v>1183</v>
      </c>
      <c r="B106" s="16" t="s">
        <v>38</v>
      </c>
      <c r="C106" s="9" t="s">
        <v>1184</v>
      </c>
      <c r="D106" s="9" t="s">
        <v>39</v>
      </c>
      <c r="E106" s="9" t="s">
        <v>1185</v>
      </c>
      <c r="F106" s="9" t="s">
        <v>1186</v>
      </c>
      <c r="G106" s="9" t="s">
        <v>581</v>
      </c>
      <c r="H106" s="9" t="s">
        <v>560</v>
      </c>
      <c r="I106" s="9" t="s">
        <v>1187</v>
      </c>
      <c r="J106" s="9" t="s">
        <v>1188</v>
      </c>
      <c r="K106" s="9" t="s">
        <v>1189</v>
      </c>
      <c r="L106" s="9" t="s">
        <v>947</v>
      </c>
      <c r="M106" s="9" t="s">
        <v>902</v>
      </c>
      <c r="N106" s="9" t="s">
        <v>948</v>
      </c>
      <c r="O106" s="9" t="s">
        <v>1190</v>
      </c>
      <c r="P106" s="9" t="s">
        <v>904</v>
      </c>
      <c r="Q106" s="9" t="s">
        <v>1191</v>
      </c>
      <c r="R106" s="9" t="s">
        <v>1192</v>
      </c>
      <c r="S106" s="9" t="s">
        <v>1193</v>
      </c>
    </row>
    <row r="107" customFormat="false" ht="57.45" hidden="false" customHeight="false" outlineLevel="0" collapsed="false">
      <c r="A107" s="16" t="s">
        <v>1194</v>
      </c>
      <c r="B107" s="16" t="s">
        <v>38</v>
      </c>
      <c r="C107" s="9" t="s">
        <v>1184</v>
      </c>
      <c r="D107" s="9" t="s">
        <v>39</v>
      </c>
      <c r="E107" s="9" t="s">
        <v>1195</v>
      </c>
      <c r="F107" s="9" t="s">
        <v>1196</v>
      </c>
      <c r="G107" s="9" t="s">
        <v>581</v>
      </c>
      <c r="H107" s="9" t="s">
        <v>560</v>
      </c>
      <c r="I107" s="9" t="s">
        <v>1197</v>
      </c>
      <c r="J107" s="9" t="s">
        <v>1198</v>
      </c>
      <c r="K107" s="9" t="s">
        <v>1189</v>
      </c>
      <c r="L107" s="9" t="s">
        <v>947</v>
      </c>
      <c r="M107" s="9" t="s">
        <v>902</v>
      </c>
      <c r="N107" s="9" t="s">
        <v>948</v>
      </c>
      <c r="O107" s="9" t="s">
        <v>1199</v>
      </c>
      <c r="P107" s="9" t="s">
        <v>904</v>
      </c>
      <c r="Q107" s="9" t="s">
        <v>328</v>
      </c>
      <c r="R107" s="9" t="s">
        <v>1200</v>
      </c>
      <c r="S107" s="9" t="s">
        <v>1201</v>
      </c>
    </row>
    <row r="108" customFormat="false" ht="46.25" hidden="false" customHeight="false" outlineLevel="0" collapsed="false">
      <c r="A108" s="16" t="s">
        <v>1202</v>
      </c>
      <c r="B108" s="16" t="s">
        <v>38</v>
      </c>
      <c r="C108" s="9" t="s">
        <v>1184</v>
      </c>
      <c r="D108" s="9" t="s">
        <v>39</v>
      </c>
      <c r="E108" s="9" t="s">
        <v>1203</v>
      </c>
      <c r="F108" s="9" t="s">
        <v>1204</v>
      </c>
      <c r="G108" s="9" t="s">
        <v>581</v>
      </c>
      <c r="H108" s="9" t="s">
        <v>560</v>
      </c>
      <c r="I108" s="9" t="s">
        <v>1205</v>
      </c>
      <c r="J108" s="9" t="s">
        <v>1206</v>
      </c>
      <c r="K108" s="9" t="s">
        <v>1207</v>
      </c>
      <c r="L108" s="9" t="s">
        <v>947</v>
      </c>
      <c r="M108" s="9" t="s">
        <v>902</v>
      </c>
      <c r="N108" s="9" t="s">
        <v>948</v>
      </c>
      <c r="O108" s="9" t="s">
        <v>1208</v>
      </c>
      <c r="P108" s="9" t="s">
        <v>904</v>
      </c>
      <c r="Q108" s="9" t="s">
        <v>347</v>
      </c>
      <c r="R108" s="9" t="s">
        <v>348</v>
      </c>
      <c r="S108" s="9" t="s">
        <v>1209</v>
      </c>
    </row>
    <row r="109" customFormat="false" ht="57.45" hidden="false" customHeight="false" outlineLevel="0" collapsed="false">
      <c r="A109" s="16" t="s">
        <v>1210</v>
      </c>
      <c r="B109" s="16" t="s">
        <v>38</v>
      </c>
      <c r="C109" s="9" t="s">
        <v>1184</v>
      </c>
      <c r="D109" s="9" t="s">
        <v>39</v>
      </c>
      <c r="E109" s="9" t="s">
        <v>1211</v>
      </c>
      <c r="F109" s="9" t="s">
        <v>1212</v>
      </c>
      <c r="G109" s="9" t="s">
        <v>581</v>
      </c>
      <c r="H109" s="9" t="s">
        <v>560</v>
      </c>
      <c r="I109" s="9" t="s">
        <v>1213</v>
      </c>
      <c r="J109" s="9" t="s">
        <v>1198</v>
      </c>
      <c r="K109" s="9" t="s">
        <v>1189</v>
      </c>
      <c r="L109" s="9" t="s">
        <v>947</v>
      </c>
      <c r="M109" s="9" t="s">
        <v>902</v>
      </c>
      <c r="N109" s="9" t="s">
        <v>948</v>
      </c>
      <c r="O109" s="9" t="s">
        <v>1214</v>
      </c>
      <c r="P109" s="9" t="s">
        <v>904</v>
      </c>
      <c r="Q109" s="9" t="s">
        <v>547</v>
      </c>
      <c r="R109" s="9" t="s">
        <v>1215</v>
      </c>
      <c r="S109" s="9" t="s">
        <v>1216</v>
      </c>
    </row>
    <row r="110" customFormat="false" ht="57.45" hidden="false" customHeight="false" outlineLevel="0" collapsed="false">
      <c r="A110" s="16" t="s">
        <v>1217</v>
      </c>
      <c r="B110" s="16" t="s">
        <v>38</v>
      </c>
      <c r="C110" s="9" t="s">
        <v>1184</v>
      </c>
      <c r="D110" s="9" t="s">
        <v>39</v>
      </c>
      <c r="E110" s="9" t="s">
        <v>1218</v>
      </c>
      <c r="F110" s="9" t="s">
        <v>1219</v>
      </c>
      <c r="G110" s="9" t="s">
        <v>581</v>
      </c>
      <c r="H110" s="9" t="s">
        <v>560</v>
      </c>
      <c r="I110" s="9" t="s">
        <v>1220</v>
      </c>
      <c r="J110" s="9" t="s">
        <v>1221</v>
      </c>
      <c r="K110" s="9" t="s">
        <v>1189</v>
      </c>
      <c r="L110" s="9" t="s">
        <v>947</v>
      </c>
      <c r="M110" s="9" t="s">
        <v>902</v>
      </c>
      <c r="N110" s="9" t="s">
        <v>948</v>
      </c>
      <c r="O110" s="9" t="s">
        <v>1222</v>
      </c>
      <c r="P110" s="9" t="s">
        <v>904</v>
      </c>
      <c r="Q110" s="9" t="s">
        <v>1223</v>
      </c>
      <c r="R110" s="9" t="s">
        <v>106</v>
      </c>
      <c r="S110" s="9" t="s">
        <v>1224</v>
      </c>
    </row>
    <row r="111" customFormat="false" ht="57.45" hidden="false" customHeight="false" outlineLevel="0" collapsed="false">
      <c r="A111" s="16" t="s">
        <v>1225</v>
      </c>
      <c r="B111" s="16" t="s">
        <v>38</v>
      </c>
      <c r="C111" s="9" t="s">
        <v>1184</v>
      </c>
      <c r="D111" s="9" t="s">
        <v>39</v>
      </c>
      <c r="E111" s="9" t="s">
        <v>1226</v>
      </c>
      <c r="F111" s="9" t="s">
        <v>1227</v>
      </c>
      <c r="G111" s="9" t="s">
        <v>581</v>
      </c>
      <c r="H111" s="9" t="s">
        <v>560</v>
      </c>
      <c r="I111" s="9" t="s">
        <v>1228</v>
      </c>
      <c r="J111" s="9" t="s">
        <v>1229</v>
      </c>
      <c r="K111" s="9" t="s">
        <v>1189</v>
      </c>
      <c r="L111" s="9" t="s">
        <v>947</v>
      </c>
      <c r="M111" s="9" t="s">
        <v>902</v>
      </c>
      <c r="N111" s="9" t="s">
        <v>948</v>
      </c>
      <c r="O111" s="9" t="s">
        <v>1230</v>
      </c>
      <c r="P111" s="9" t="s">
        <v>904</v>
      </c>
      <c r="Q111" s="9" t="s">
        <v>1231</v>
      </c>
      <c r="R111" s="9" t="s">
        <v>1232</v>
      </c>
      <c r="S111" s="9" t="s">
        <v>1233</v>
      </c>
    </row>
    <row r="112" customFormat="false" ht="57.45" hidden="false" customHeight="false" outlineLevel="0" collapsed="false">
      <c r="A112" s="16" t="s">
        <v>1234</v>
      </c>
      <c r="B112" s="16" t="s">
        <v>38</v>
      </c>
      <c r="C112" s="9" t="s">
        <v>1184</v>
      </c>
      <c r="D112" s="9" t="s">
        <v>39</v>
      </c>
      <c r="E112" s="9" t="s">
        <v>1235</v>
      </c>
      <c r="F112" s="9" t="s">
        <v>1236</v>
      </c>
      <c r="G112" s="9" t="s">
        <v>581</v>
      </c>
      <c r="H112" s="9" t="s">
        <v>560</v>
      </c>
      <c r="I112" s="9" t="s">
        <v>1237</v>
      </c>
      <c r="J112" s="9" t="s">
        <v>1238</v>
      </c>
      <c r="K112" s="9" t="s">
        <v>1189</v>
      </c>
      <c r="L112" s="9" t="s">
        <v>947</v>
      </c>
      <c r="M112" s="9" t="s">
        <v>902</v>
      </c>
      <c r="N112" s="9" t="s">
        <v>948</v>
      </c>
      <c r="O112" s="9" t="s">
        <v>1239</v>
      </c>
      <c r="P112" s="9" t="s">
        <v>904</v>
      </c>
      <c r="Q112" s="9" t="s">
        <v>1240</v>
      </c>
      <c r="R112" s="9" t="s">
        <v>1241</v>
      </c>
      <c r="S112" s="9" t="s">
        <v>1242</v>
      </c>
    </row>
    <row r="113" customFormat="false" ht="57.45" hidden="false" customHeight="false" outlineLevel="0" collapsed="false">
      <c r="A113" s="16" t="s">
        <v>1243</v>
      </c>
      <c r="B113" s="16" t="s">
        <v>38</v>
      </c>
      <c r="C113" s="9" t="s">
        <v>1184</v>
      </c>
      <c r="D113" s="9" t="s">
        <v>39</v>
      </c>
      <c r="E113" s="9" t="s">
        <v>1244</v>
      </c>
      <c r="F113" s="9" t="s">
        <v>1245</v>
      </c>
      <c r="G113" s="9" t="s">
        <v>581</v>
      </c>
      <c r="H113" s="9" t="s">
        <v>560</v>
      </c>
      <c r="I113" s="9" t="s">
        <v>1246</v>
      </c>
      <c r="J113" s="9" t="s">
        <v>1247</v>
      </c>
      <c r="K113" s="9" t="s">
        <v>1189</v>
      </c>
      <c r="L113" s="9" t="s">
        <v>947</v>
      </c>
      <c r="M113" s="9" t="s">
        <v>902</v>
      </c>
      <c r="N113" s="9" t="s">
        <v>948</v>
      </c>
      <c r="O113" s="9" t="s">
        <v>1248</v>
      </c>
      <c r="P113" s="9" t="s">
        <v>904</v>
      </c>
      <c r="Q113" s="9" t="s">
        <v>1240</v>
      </c>
      <c r="R113" s="9" t="s">
        <v>1241</v>
      </c>
      <c r="S113" s="9" t="s">
        <v>1242</v>
      </c>
    </row>
    <row r="114" customFormat="false" ht="57.45" hidden="false" customHeight="false" outlineLevel="0" collapsed="false">
      <c r="A114" s="16" t="s">
        <v>1249</v>
      </c>
      <c r="B114" s="16" t="s">
        <v>38</v>
      </c>
      <c r="C114" s="9" t="s">
        <v>1184</v>
      </c>
      <c r="D114" s="9" t="s">
        <v>39</v>
      </c>
      <c r="E114" s="9" t="s">
        <v>1250</v>
      </c>
      <c r="F114" s="9" t="s">
        <v>1251</v>
      </c>
      <c r="G114" s="9" t="s">
        <v>581</v>
      </c>
      <c r="H114" s="9" t="s">
        <v>560</v>
      </c>
      <c r="I114" s="9" t="s">
        <v>1252</v>
      </c>
      <c r="J114" s="9" t="s">
        <v>1247</v>
      </c>
      <c r="K114" s="9" t="s">
        <v>1189</v>
      </c>
      <c r="L114" s="9" t="s">
        <v>947</v>
      </c>
      <c r="M114" s="9" t="s">
        <v>902</v>
      </c>
      <c r="N114" s="9" t="s">
        <v>948</v>
      </c>
      <c r="O114" s="9" t="s">
        <v>1253</v>
      </c>
      <c r="P114" s="9" t="s">
        <v>904</v>
      </c>
      <c r="Q114" s="9" t="s">
        <v>1240</v>
      </c>
      <c r="R114" s="9" t="s">
        <v>1241</v>
      </c>
      <c r="S114" s="9" t="s">
        <v>1242</v>
      </c>
    </row>
    <row r="115" customFormat="false" ht="57.45" hidden="false" customHeight="false" outlineLevel="0" collapsed="false">
      <c r="A115" s="16" t="s">
        <v>1254</v>
      </c>
      <c r="B115" s="16" t="s">
        <v>38</v>
      </c>
      <c r="C115" s="9" t="s">
        <v>1184</v>
      </c>
      <c r="D115" s="9" t="s">
        <v>39</v>
      </c>
      <c r="E115" s="9" t="s">
        <v>1255</v>
      </c>
      <c r="F115" s="9" t="s">
        <v>1256</v>
      </c>
      <c r="G115" s="9" t="s">
        <v>581</v>
      </c>
      <c r="H115" s="9" t="s">
        <v>560</v>
      </c>
      <c r="I115" s="9" t="s">
        <v>1257</v>
      </c>
      <c r="J115" s="9" t="s">
        <v>1258</v>
      </c>
      <c r="K115" s="9" t="s">
        <v>1189</v>
      </c>
      <c r="L115" s="9" t="s">
        <v>947</v>
      </c>
      <c r="M115" s="9" t="s">
        <v>902</v>
      </c>
      <c r="N115" s="9" t="s">
        <v>948</v>
      </c>
      <c r="O115" s="9" t="s">
        <v>1259</v>
      </c>
      <c r="P115" s="9" t="s">
        <v>904</v>
      </c>
      <c r="Q115" s="9" t="s">
        <v>1260</v>
      </c>
      <c r="R115" s="9" t="s">
        <v>1261</v>
      </c>
      <c r="S115" s="9" t="s">
        <v>1262</v>
      </c>
    </row>
    <row r="116" customFormat="false" ht="46.25" hidden="false" customHeight="false" outlineLevel="0" collapsed="false">
      <c r="A116" s="16" t="s">
        <v>1263</v>
      </c>
      <c r="B116" s="16" t="s">
        <v>38</v>
      </c>
      <c r="C116" s="9" t="s">
        <v>1184</v>
      </c>
      <c r="D116" s="9" t="s">
        <v>39</v>
      </c>
      <c r="E116" s="9" t="s">
        <v>1264</v>
      </c>
      <c r="F116" s="9" t="s">
        <v>1265</v>
      </c>
      <c r="G116" s="9" t="s">
        <v>581</v>
      </c>
      <c r="H116" s="9" t="s">
        <v>560</v>
      </c>
      <c r="I116" s="9" t="s">
        <v>1266</v>
      </c>
      <c r="J116" s="9" t="s">
        <v>1267</v>
      </c>
      <c r="K116" s="9" t="s">
        <v>1207</v>
      </c>
      <c r="L116" s="9" t="s">
        <v>947</v>
      </c>
      <c r="M116" s="9" t="s">
        <v>902</v>
      </c>
      <c r="N116" s="9" t="s">
        <v>948</v>
      </c>
      <c r="O116" s="9" t="s">
        <v>1268</v>
      </c>
      <c r="P116" s="9" t="s">
        <v>904</v>
      </c>
      <c r="Q116" s="9" t="s">
        <v>106</v>
      </c>
      <c r="R116" s="9" t="s">
        <v>378</v>
      </c>
      <c r="S116" s="9" t="s">
        <v>1269</v>
      </c>
    </row>
    <row r="117" customFormat="false" ht="46.25" hidden="false" customHeight="false" outlineLevel="0" collapsed="false">
      <c r="A117" s="16" t="s">
        <v>1270</v>
      </c>
      <c r="B117" s="16" t="s">
        <v>38</v>
      </c>
      <c r="C117" s="9" t="s">
        <v>1184</v>
      </c>
      <c r="D117" s="9" t="s">
        <v>39</v>
      </c>
      <c r="E117" s="9" t="s">
        <v>1271</v>
      </c>
      <c r="F117" s="9" t="s">
        <v>1272</v>
      </c>
      <c r="G117" s="9" t="s">
        <v>581</v>
      </c>
      <c r="H117" s="9" t="s">
        <v>560</v>
      </c>
      <c r="I117" s="9" t="s">
        <v>1273</v>
      </c>
      <c r="J117" s="9" t="s">
        <v>1274</v>
      </c>
      <c r="K117" s="9" t="s">
        <v>1207</v>
      </c>
      <c r="L117" s="9" t="s">
        <v>947</v>
      </c>
      <c r="M117" s="9" t="s">
        <v>902</v>
      </c>
      <c r="N117" s="9" t="s">
        <v>948</v>
      </c>
      <c r="O117" s="9" t="s">
        <v>1275</v>
      </c>
      <c r="P117" s="9" t="s">
        <v>904</v>
      </c>
      <c r="Q117" s="9" t="s">
        <v>106</v>
      </c>
      <c r="R117" s="9" t="s">
        <v>378</v>
      </c>
      <c r="S117" s="9" t="s">
        <v>1269</v>
      </c>
    </row>
    <row r="118" customFormat="false" ht="46.25" hidden="false" customHeight="false" outlineLevel="0" collapsed="false">
      <c r="A118" s="16" t="s">
        <v>1276</v>
      </c>
      <c r="B118" s="16" t="s">
        <v>38</v>
      </c>
      <c r="C118" s="9" t="s">
        <v>1184</v>
      </c>
      <c r="D118" s="9" t="s">
        <v>39</v>
      </c>
      <c r="E118" s="9" t="s">
        <v>1277</v>
      </c>
      <c r="F118" s="9" t="s">
        <v>1278</v>
      </c>
      <c r="G118" s="9" t="s">
        <v>581</v>
      </c>
      <c r="H118" s="9" t="s">
        <v>560</v>
      </c>
      <c r="I118" s="9" t="s">
        <v>1279</v>
      </c>
      <c r="J118" s="9" t="s">
        <v>1280</v>
      </c>
      <c r="K118" s="9" t="s">
        <v>1207</v>
      </c>
      <c r="L118" s="9" t="s">
        <v>947</v>
      </c>
      <c r="M118" s="9" t="s">
        <v>902</v>
      </c>
      <c r="N118" s="9" t="s">
        <v>948</v>
      </c>
      <c r="O118" s="9" t="s">
        <v>1281</v>
      </c>
      <c r="P118" s="9" t="s">
        <v>904</v>
      </c>
      <c r="Q118" s="9" t="s">
        <v>106</v>
      </c>
      <c r="R118" s="9" t="s">
        <v>106</v>
      </c>
      <c r="S118" s="9" t="s">
        <v>1269</v>
      </c>
    </row>
    <row r="119" customFormat="false" ht="46.25" hidden="false" customHeight="false" outlineLevel="0" collapsed="false">
      <c r="A119" s="16" t="s">
        <v>1282</v>
      </c>
      <c r="B119" s="16" t="s">
        <v>38</v>
      </c>
      <c r="C119" s="9" t="s">
        <v>1184</v>
      </c>
      <c r="D119" s="9" t="s">
        <v>39</v>
      </c>
      <c r="E119" s="9" t="s">
        <v>1283</v>
      </c>
      <c r="F119" s="9" t="s">
        <v>1284</v>
      </c>
      <c r="G119" s="9" t="s">
        <v>581</v>
      </c>
      <c r="H119" s="9" t="s">
        <v>560</v>
      </c>
      <c r="I119" s="9" t="s">
        <v>1285</v>
      </c>
      <c r="J119" s="9" t="s">
        <v>1188</v>
      </c>
      <c r="K119" s="9" t="s">
        <v>1207</v>
      </c>
      <c r="L119" s="9" t="s">
        <v>947</v>
      </c>
      <c r="M119" s="9" t="s">
        <v>902</v>
      </c>
      <c r="N119" s="9" t="s">
        <v>948</v>
      </c>
      <c r="O119" s="9" t="s">
        <v>1286</v>
      </c>
      <c r="P119" s="9" t="s">
        <v>904</v>
      </c>
      <c r="Q119" s="9" t="s">
        <v>106</v>
      </c>
      <c r="R119" s="9" t="s">
        <v>106</v>
      </c>
      <c r="S119" s="9" t="s">
        <v>1269</v>
      </c>
    </row>
    <row r="120" customFormat="false" ht="46.25" hidden="false" customHeight="false" outlineLevel="0" collapsed="false">
      <c r="A120" s="16" t="s">
        <v>1287</v>
      </c>
      <c r="B120" s="16" t="s">
        <v>38</v>
      </c>
      <c r="C120" s="9" t="s">
        <v>1184</v>
      </c>
      <c r="D120" s="9" t="s">
        <v>39</v>
      </c>
      <c r="E120" s="9" t="s">
        <v>1288</v>
      </c>
      <c r="F120" s="9" t="s">
        <v>1289</v>
      </c>
      <c r="G120" s="9" t="s">
        <v>581</v>
      </c>
      <c r="H120" s="9" t="s">
        <v>560</v>
      </c>
      <c r="I120" s="9" t="s">
        <v>1285</v>
      </c>
      <c r="J120" s="9" t="s">
        <v>1198</v>
      </c>
      <c r="K120" s="9" t="s">
        <v>1207</v>
      </c>
      <c r="L120" s="9" t="s">
        <v>947</v>
      </c>
      <c r="M120" s="9" t="s">
        <v>902</v>
      </c>
      <c r="N120" s="9" t="s">
        <v>948</v>
      </c>
      <c r="O120" s="9" t="s">
        <v>1290</v>
      </c>
      <c r="P120" s="9" t="s">
        <v>904</v>
      </c>
      <c r="Q120" s="9" t="s">
        <v>106</v>
      </c>
      <c r="R120" s="9" t="s">
        <v>106</v>
      </c>
      <c r="S120" s="9" t="s">
        <v>1269</v>
      </c>
    </row>
    <row r="121" customFormat="false" ht="46.25" hidden="false" customHeight="false" outlineLevel="0" collapsed="false">
      <c r="A121" s="16" t="s">
        <v>1291</v>
      </c>
      <c r="B121" s="16" t="s">
        <v>38</v>
      </c>
      <c r="C121" s="9" t="s">
        <v>1184</v>
      </c>
      <c r="D121" s="9" t="s">
        <v>39</v>
      </c>
      <c r="E121" s="9" t="s">
        <v>1292</v>
      </c>
      <c r="F121" s="9" t="s">
        <v>1293</v>
      </c>
      <c r="G121" s="9" t="s">
        <v>581</v>
      </c>
      <c r="H121" s="9" t="s">
        <v>560</v>
      </c>
      <c r="I121" s="9" t="s">
        <v>1294</v>
      </c>
      <c r="J121" s="9" t="s">
        <v>1295</v>
      </c>
      <c r="K121" s="9" t="s">
        <v>1207</v>
      </c>
      <c r="L121" s="9" t="s">
        <v>947</v>
      </c>
      <c r="M121" s="9" t="s">
        <v>902</v>
      </c>
      <c r="N121" s="9" t="s">
        <v>948</v>
      </c>
      <c r="O121" s="9" t="s">
        <v>1296</v>
      </c>
      <c r="P121" s="9" t="s">
        <v>904</v>
      </c>
      <c r="Q121" s="9" t="s">
        <v>1297</v>
      </c>
      <c r="R121" s="9" t="s">
        <v>1298</v>
      </c>
      <c r="S121" s="9" t="s">
        <v>1299</v>
      </c>
    </row>
    <row r="122" customFormat="false" ht="57.45" hidden="false" customHeight="false" outlineLevel="0" collapsed="false">
      <c r="A122" s="16" t="s">
        <v>1300</v>
      </c>
      <c r="B122" s="16" t="s">
        <v>38</v>
      </c>
      <c r="C122" s="9" t="s">
        <v>1184</v>
      </c>
      <c r="D122" s="9" t="s">
        <v>39</v>
      </c>
      <c r="E122" s="9" t="s">
        <v>1301</v>
      </c>
      <c r="F122" s="9" t="s">
        <v>1302</v>
      </c>
      <c r="G122" s="9" t="s">
        <v>581</v>
      </c>
      <c r="H122" s="9" t="s">
        <v>560</v>
      </c>
      <c r="I122" s="9" t="s">
        <v>1303</v>
      </c>
      <c r="J122" s="9" t="s">
        <v>1304</v>
      </c>
      <c r="K122" s="9" t="s">
        <v>1189</v>
      </c>
      <c r="L122" s="9" t="s">
        <v>947</v>
      </c>
      <c r="M122" s="9" t="s">
        <v>902</v>
      </c>
      <c r="N122" s="9" t="s">
        <v>948</v>
      </c>
      <c r="O122" s="9" t="s">
        <v>1305</v>
      </c>
      <c r="P122" s="9" t="s">
        <v>904</v>
      </c>
      <c r="Q122" s="9" t="s">
        <v>106</v>
      </c>
      <c r="R122" s="9" t="s">
        <v>106</v>
      </c>
      <c r="S122" s="9" t="s">
        <v>1306</v>
      </c>
    </row>
    <row r="123" customFormat="false" ht="46.25" hidden="false" customHeight="false" outlineLevel="0" collapsed="false">
      <c r="A123" s="16" t="s">
        <v>1307</v>
      </c>
      <c r="B123" s="16" t="s">
        <v>38</v>
      </c>
      <c r="C123" s="9" t="s">
        <v>1184</v>
      </c>
      <c r="D123" s="9" t="s">
        <v>39</v>
      </c>
      <c r="E123" s="9" t="s">
        <v>1308</v>
      </c>
      <c r="F123" s="9" t="s">
        <v>1309</v>
      </c>
      <c r="G123" s="9" t="s">
        <v>581</v>
      </c>
      <c r="H123" s="9" t="s">
        <v>560</v>
      </c>
      <c r="I123" s="9" t="s">
        <v>1310</v>
      </c>
      <c r="J123" s="9" t="s">
        <v>1258</v>
      </c>
      <c r="K123" s="9" t="s">
        <v>1207</v>
      </c>
      <c r="L123" s="9" t="s">
        <v>947</v>
      </c>
      <c r="M123" s="9" t="s">
        <v>902</v>
      </c>
      <c r="N123" s="9" t="s">
        <v>948</v>
      </c>
      <c r="O123" s="9" t="s">
        <v>1311</v>
      </c>
      <c r="P123" s="9" t="s">
        <v>904</v>
      </c>
      <c r="Q123" s="9" t="s">
        <v>1312</v>
      </c>
      <c r="R123" s="9" t="s">
        <v>1313</v>
      </c>
      <c r="S123" s="9" t="s">
        <v>1314</v>
      </c>
    </row>
    <row r="124" customFormat="false" ht="46.25" hidden="false" customHeight="false" outlineLevel="0" collapsed="false">
      <c r="A124" s="15" t="s">
        <v>1315</v>
      </c>
      <c r="B124" s="16" t="s">
        <v>38</v>
      </c>
      <c r="C124" s="9" t="s">
        <v>1184</v>
      </c>
      <c r="D124" s="9" t="s">
        <v>39</v>
      </c>
      <c r="E124" s="9" t="s">
        <v>1316</v>
      </c>
      <c r="F124" s="9" t="s">
        <v>1317</v>
      </c>
      <c r="G124" s="9" t="s">
        <v>581</v>
      </c>
      <c r="H124" s="9" t="s">
        <v>560</v>
      </c>
      <c r="I124" s="9" t="s">
        <v>1318</v>
      </c>
      <c r="J124" s="9" t="s">
        <v>1319</v>
      </c>
      <c r="K124" s="9" t="s">
        <v>1207</v>
      </c>
      <c r="L124" s="9" t="s">
        <v>947</v>
      </c>
      <c r="M124" s="9" t="s">
        <v>902</v>
      </c>
      <c r="N124" s="9" t="s">
        <v>948</v>
      </c>
      <c r="O124" s="9" t="s">
        <v>1320</v>
      </c>
      <c r="P124" s="9" t="s">
        <v>904</v>
      </c>
      <c r="Q124" s="9" t="s">
        <v>106</v>
      </c>
      <c r="R124" s="9" t="s">
        <v>106</v>
      </c>
      <c r="S124" s="9" t="s">
        <v>1321</v>
      </c>
    </row>
    <row r="125" customFormat="false" ht="46.25" hidden="false" customHeight="false" outlineLevel="0" collapsed="false">
      <c r="A125" s="16" t="s">
        <v>1322</v>
      </c>
      <c r="B125" s="16" t="s">
        <v>38</v>
      </c>
      <c r="C125" s="9" t="s">
        <v>1184</v>
      </c>
      <c r="D125" s="9" t="s">
        <v>39</v>
      </c>
      <c r="E125" s="9" t="s">
        <v>1323</v>
      </c>
      <c r="F125" s="9" t="s">
        <v>1324</v>
      </c>
      <c r="G125" s="9" t="s">
        <v>581</v>
      </c>
      <c r="H125" s="9" t="s">
        <v>560</v>
      </c>
      <c r="I125" s="9" t="s">
        <v>1325</v>
      </c>
      <c r="J125" s="9" t="s">
        <v>1326</v>
      </c>
      <c r="K125" s="9" t="s">
        <v>1207</v>
      </c>
      <c r="L125" s="9" t="s">
        <v>947</v>
      </c>
      <c r="M125" s="9" t="s">
        <v>902</v>
      </c>
      <c r="N125" s="9" t="s">
        <v>948</v>
      </c>
      <c r="O125" s="9" t="s">
        <v>1327</v>
      </c>
      <c r="P125" s="9" t="s">
        <v>904</v>
      </c>
      <c r="Q125" s="9" t="s">
        <v>1328</v>
      </c>
      <c r="R125" s="9" t="s">
        <v>1329</v>
      </c>
      <c r="S125" s="9" t="s">
        <v>1330</v>
      </c>
    </row>
    <row r="126" customFormat="false" ht="46.25" hidden="false" customHeight="false" outlineLevel="0" collapsed="false">
      <c r="A126" s="16" t="s">
        <v>1331</v>
      </c>
      <c r="B126" s="16" t="s">
        <v>38</v>
      </c>
      <c r="C126" s="9" t="s">
        <v>1184</v>
      </c>
      <c r="D126" s="9" t="s">
        <v>39</v>
      </c>
      <c r="E126" s="9" t="s">
        <v>1332</v>
      </c>
      <c r="F126" s="9" t="s">
        <v>1333</v>
      </c>
      <c r="G126" s="9" t="s">
        <v>581</v>
      </c>
      <c r="H126" s="9" t="s">
        <v>560</v>
      </c>
      <c r="I126" s="9" t="s">
        <v>1334</v>
      </c>
      <c r="J126" s="9" t="s">
        <v>1335</v>
      </c>
      <c r="K126" s="9" t="s">
        <v>1207</v>
      </c>
      <c r="L126" s="9" t="s">
        <v>947</v>
      </c>
      <c r="M126" s="9" t="s">
        <v>902</v>
      </c>
      <c r="N126" s="9" t="s">
        <v>948</v>
      </c>
      <c r="O126" s="9" t="s">
        <v>1336</v>
      </c>
      <c r="P126" s="9" t="s">
        <v>904</v>
      </c>
      <c r="Q126" s="9" t="s">
        <v>1328</v>
      </c>
      <c r="R126" s="9" t="s">
        <v>1329</v>
      </c>
      <c r="S126" s="9" t="s">
        <v>1330</v>
      </c>
    </row>
    <row r="127" customFormat="false" ht="57.45" hidden="false" customHeight="false" outlineLevel="0" collapsed="false">
      <c r="A127" s="16" t="s">
        <v>1337</v>
      </c>
      <c r="B127" s="16" t="s">
        <v>38</v>
      </c>
      <c r="C127" s="9" t="s">
        <v>1184</v>
      </c>
      <c r="D127" s="9" t="s">
        <v>39</v>
      </c>
      <c r="E127" s="9" t="s">
        <v>1338</v>
      </c>
      <c r="F127" s="9" t="s">
        <v>1339</v>
      </c>
      <c r="G127" s="9" t="s">
        <v>581</v>
      </c>
      <c r="H127" s="9" t="s">
        <v>560</v>
      </c>
      <c r="I127" s="9" t="s">
        <v>1340</v>
      </c>
      <c r="J127" s="9" t="s">
        <v>1341</v>
      </c>
      <c r="K127" s="9" t="s">
        <v>1189</v>
      </c>
      <c r="L127" s="9" t="s">
        <v>947</v>
      </c>
      <c r="M127" s="9" t="s">
        <v>902</v>
      </c>
      <c r="N127" s="9" t="s">
        <v>948</v>
      </c>
      <c r="O127" s="9" t="s">
        <v>1342</v>
      </c>
      <c r="P127" s="9" t="s">
        <v>904</v>
      </c>
      <c r="Q127" s="9" t="s">
        <v>1343</v>
      </c>
      <c r="R127" s="9" t="s">
        <v>1344</v>
      </c>
      <c r="S127" s="9" t="s">
        <v>1345</v>
      </c>
    </row>
    <row r="128" customFormat="false" ht="46.25" hidden="false" customHeight="false" outlineLevel="0" collapsed="false">
      <c r="A128" s="16" t="s">
        <v>1346</v>
      </c>
      <c r="B128" s="16" t="s">
        <v>38</v>
      </c>
      <c r="C128" s="9" t="s">
        <v>1184</v>
      </c>
      <c r="D128" s="9" t="s">
        <v>39</v>
      </c>
      <c r="E128" s="9" t="s">
        <v>1347</v>
      </c>
      <c r="F128" s="9" t="s">
        <v>1348</v>
      </c>
      <c r="G128" s="9" t="s">
        <v>581</v>
      </c>
      <c r="H128" s="9" t="s">
        <v>560</v>
      </c>
      <c r="I128" s="9" t="s">
        <v>1349</v>
      </c>
      <c r="J128" s="9" t="s">
        <v>1350</v>
      </c>
      <c r="K128" s="9" t="s">
        <v>1207</v>
      </c>
      <c r="L128" s="9" t="s">
        <v>947</v>
      </c>
      <c r="M128" s="9" t="s">
        <v>902</v>
      </c>
      <c r="N128" s="9" t="s">
        <v>948</v>
      </c>
      <c r="O128" s="9" t="s">
        <v>1351</v>
      </c>
      <c r="P128" s="9" t="s">
        <v>904</v>
      </c>
      <c r="Q128" s="9" t="s">
        <v>1343</v>
      </c>
      <c r="R128" s="9" t="s">
        <v>1352</v>
      </c>
      <c r="S128" s="9" t="s">
        <v>1345</v>
      </c>
    </row>
    <row r="129" customFormat="false" ht="46.25" hidden="false" customHeight="false" outlineLevel="0" collapsed="false">
      <c r="A129" s="16" t="s">
        <v>1353</v>
      </c>
      <c r="B129" s="16" t="s">
        <v>38</v>
      </c>
      <c r="C129" s="9" t="s">
        <v>1184</v>
      </c>
      <c r="D129" s="9" t="s">
        <v>39</v>
      </c>
      <c r="E129" s="9" t="s">
        <v>1354</v>
      </c>
      <c r="F129" s="9" t="s">
        <v>1355</v>
      </c>
      <c r="G129" s="9" t="s">
        <v>581</v>
      </c>
      <c r="H129" s="9" t="s">
        <v>560</v>
      </c>
      <c r="I129" s="9" t="s">
        <v>1356</v>
      </c>
      <c r="J129" s="9" t="s">
        <v>1357</v>
      </c>
      <c r="K129" s="9" t="s">
        <v>1207</v>
      </c>
      <c r="L129" s="9" t="s">
        <v>947</v>
      </c>
      <c r="M129" s="9" t="s">
        <v>902</v>
      </c>
      <c r="N129" s="9" t="s">
        <v>948</v>
      </c>
      <c r="O129" s="9" t="s">
        <v>1358</v>
      </c>
      <c r="P129" s="9" t="s">
        <v>904</v>
      </c>
      <c r="Q129" s="9" t="s">
        <v>106</v>
      </c>
      <c r="R129" s="9" t="s">
        <v>106</v>
      </c>
      <c r="S129" s="9" t="s">
        <v>1359</v>
      </c>
    </row>
    <row r="130" customFormat="false" ht="57.45" hidden="false" customHeight="false" outlineLevel="0" collapsed="false">
      <c r="A130" s="16" t="s">
        <v>1360</v>
      </c>
      <c r="B130" s="16" t="s">
        <v>38</v>
      </c>
      <c r="C130" s="9" t="s">
        <v>1184</v>
      </c>
      <c r="D130" s="9" t="s">
        <v>39</v>
      </c>
      <c r="E130" s="9" t="s">
        <v>1361</v>
      </c>
      <c r="F130" s="9" t="s">
        <v>1362</v>
      </c>
      <c r="G130" s="9" t="s">
        <v>581</v>
      </c>
      <c r="H130" s="9" t="s">
        <v>560</v>
      </c>
      <c r="I130" s="9" t="s">
        <v>1363</v>
      </c>
      <c r="J130" s="9" t="s">
        <v>1357</v>
      </c>
      <c r="K130" s="9" t="s">
        <v>1189</v>
      </c>
      <c r="L130" s="9" t="s">
        <v>947</v>
      </c>
      <c r="M130" s="9" t="s">
        <v>902</v>
      </c>
      <c r="N130" s="9" t="s">
        <v>948</v>
      </c>
      <c r="O130" s="9" t="s">
        <v>1364</v>
      </c>
      <c r="P130" s="9" t="s">
        <v>904</v>
      </c>
      <c r="Q130" s="9" t="s">
        <v>1365</v>
      </c>
      <c r="R130" s="9" t="s">
        <v>106</v>
      </c>
      <c r="S130" s="9" t="s">
        <v>1366</v>
      </c>
    </row>
    <row r="131" customFormat="false" ht="57.45" hidden="false" customHeight="false" outlineLevel="0" collapsed="false">
      <c r="A131" s="16" t="s">
        <v>1367</v>
      </c>
      <c r="B131" s="16" t="s">
        <v>38</v>
      </c>
      <c r="C131" s="9" t="s">
        <v>1184</v>
      </c>
      <c r="D131" s="9" t="s">
        <v>39</v>
      </c>
      <c r="E131" s="9" t="s">
        <v>1368</v>
      </c>
      <c r="F131" s="9" t="s">
        <v>1369</v>
      </c>
      <c r="G131" s="9" t="s">
        <v>581</v>
      </c>
      <c r="H131" s="9" t="s">
        <v>560</v>
      </c>
      <c r="I131" s="9" t="s">
        <v>1370</v>
      </c>
      <c r="J131" s="9" t="s">
        <v>1371</v>
      </c>
      <c r="K131" s="9" t="s">
        <v>1189</v>
      </c>
      <c r="L131" s="9" t="s">
        <v>947</v>
      </c>
      <c r="M131" s="9" t="s">
        <v>902</v>
      </c>
      <c r="N131" s="9" t="s">
        <v>948</v>
      </c>
      <c r="O131" s="9" t="s">
        <v>1372</v>
      </c>
      <c r="P131" s="9" t="s">
        <v>904</v>
      </c>
      <c r="Q131" s="9" t="s">
        <v>1373</v>
      </c>
      <c r="R131" s="9" t="s">
        <v>1374</v>
      </c>
      <c r="S131" s="9" t="s">
        <v>1375</v>
      </c>
    </row>
    <row r="132" customFormat="false" ht="46.25" hidden="false" customHeight="false" outlineLevel="0" collapsed="false">
      <c r="A132" s="16" t="s">
        <v>1376</v>
      </c>
      <c r="B132" s="16" t="s">
        <v>38</v>
      </c>
      <c r="C132" s="9" t="s">
        <v>1184</v>
      </c>
      <c r="D132" s="9" t="s">
        <v>39</v>
      </c>
      <c r="E132" s="9" t="s">
        <v>1377</v>
      </c>
      <c r="F132" s="9" t="s">
        <v>1378</v>
      </c>
      <c r="G132" s="9" t="s">
        <v>581</v>
      </c>
      <c r="H132" s="9" t="s">
        <v>560</v>
      </c>
      <c r="I132" s="9" t="s">
        <v>1379</v>
      </c>
      <c r="J132" s="9" t="s">
        <v>1380</v>
      </c>
      <c r="K132" s="9" t="s">
        <v>1207</v>
      </c>
      <c r="L132" s="9" t="s">
        <v>947</v>
      </c>
      <c r="M132" s="9" t="s">
        <v>902</v>
      </c>
      <c r="N132" s="9" t="s">
        <v>948</v>
      </c>
      <c r="O132" s="9" t="s">
        <v>1381</v>
      </c>
      <c r="P132" s="9" t="s">
        <v>904</v>
      </c>
      <c r="Q132" s="9" t="s">
        <v>1373</v>
      </c>
      <c r="R132" s="9" t="s">
        <v>1382</v>
      </c>
      <c r="S132" s="9" t="s">
        <v>1375</v>
      </c>
    </row>
    <row r="133" customFormat="false" ht="57.45" hidden="false" customHeight="false" outlineLevel="0" collapsed="false">
      <c r="A133" s="16" t="s">
        <v>1383</v>
      </c>
      <c r="B133" s="16" t="s">
        <v>38</v>
      </c>
      <c r="C133" s="9" t="s">
        <v>1184</v>
      </c>
      <c r="D133" s="9" t="s">
        <v>39</v>
      </c>
      <c r="E133" s="9" t="s">
        <v>1384</v>
      </c>
      <c r="F133" s="9" t="s">
        <v>1385</v>
      </c>
      <c r="G133" s="9" t="s">
        <v>559</v>
      </c>
      <c r="H133" s="9" t="s">
        <v>560</v>
      </c>
      <c r="I133" s="9" t="s">
        <v>1386</v>
      </c>
      <c r="J133" s="9" t="s">
        <v>1387</v>
      </c>
      <c r="K133" s="9" t="s">
        <v>1189</v>
      </c>
      <c r="L133" s="9" t="s">
        <v>106</v>
      </c>
      <c r="M133" s="9" t="s">
        <v>902</v>
      </c>
      <c r="N133" s="9" t="s">
        <v>948</v>
      </c>
      <c r="O133" s="9" t="s">
        <v>1388</v>
      </c>
      <c r="P133" s="9" t="s">
        <v>904</v>
      </c>
      <c r="Q133" s="9" t="s">
        <v>1389</v>
      </c>
      <c r="R133" s="9" t="s">
        <v>1390</v>
      </c>
      <c r="S133" s="9" t="s">
        <v>1391</v>
      </c>
    </row>
    <row r="134" customFormat="false" ht="46.25" hidden="false" customHeight="false" outlineLevel="0" collapsed="false">
      <c r="A134" s="16" t="s">
        <v>1392</v>
      </c>
      <c r="B134" s="16" t="s">
        <v>38</v>
      </c>
      <c r="C134" s="9" t="s">
        <v>1184</v>
      </c>
      <c r="D134" s="9" t="s">
        <v>39</v>
      </c>
      <c r="E134" s="9" t="s">
        <v>1393</v>
      </c>
      <c r="F134" s="9" t="s">
        <v>1394</v>
      </c>
      <c r="G134" s="9" t="s">
        <v>581</v>
      </c>
      <c r="H134" s="9" t="s">
        <v>560</v>
      </c>
      <c r="I134" s="9" t="s">
        <v>1395</v>
      </c>
      <c r="J134" s="9" t="s">
        <v>1198</v>
      </c>
      <c r="K134" s="9" t="s">
        <v>1207</v>
      </c>
      <c r="L134" s="9" t="s">
        <v>947</v>
      </c>
      <c r="M134" s="9" t="s">
        <v>902</v>
      </c>
      <c r="N134" s="9" t="s">
        <v>948</v>
      </c>
      <c r="O134" s="9" t="s">
        <v>1396</v>
      </c>
      <c r="P134" s="9" t="s">
        <v>904</v>
      </c>
      <c r="Q134" s="9" t="s">
        <v>106</v>
      </c>
      <c r="R134" s="9" t="s">
        <v>106</v>
      </c>
      <c r="S134" s="9" t="s">
        <v>1397</v>
      </c>
    </row>
    <row r="135" customFormat="false" ht="46.25" hidden="false" customHeight="false" outlineLevel="0" collapsed="false">
      <c r="A135" s="16" t="s">
        <v>1398</v>
      </c>
      <c r="B135" s="16" t="s">
        <v>38</v>
      </c>
      <c r="C135" s="9" t="s">
        <v>1184</v>
      </c>
      <c r="D135" s="9" t="s">
        <v>39</v>
      </c>
      <c r="E135" s="9" t="s">
        <v>1399</v>
      </c>
      <c r="F135" s="9" t="s">
        <v>1400</v>
      </c>
      <c r="G135" s="9" t="s">
        <v>581</v>
      </c>
      <c r="H135" s="9" t="s">
        <v>560</v>
      </c>
      <c r="I135" s="9" t="s">
        <v>1401</v>
      </c>
      <c r="J135" s="9" t="s">
        <v>1402</v>
      </c>
      <c r="K135" s="9" t="s">
        <v>1207</v>
      </c>
      <c r="L135" s="9" t="s">
        <v>947</v>
      </c>
      <c r="M135" s="9" t="s">
        <v>902</v>
      </c>
      <c r="N135" s="9" t="s">
        <v>948</v>
      </c>
      <c r="O135" s="9" t="s">
        <v>1403</v>
      </c>
      <c r="P135" s="9" t="s">
        <v>904</v>
      </c>
      <c r="Q135" s="9" t="s">
        <v>106</v>
      </c>
      <c r="R135" s="9" t="s">
        <v>1404</v>
      </c>
      <c r="S135" s="9" t="s">
        <v>1405</v>
      </c>
    </row>
    <row r="136" customFormat="false" ht="46.25" hidden="false" customHeight="false" outlineLevel="0" collapsed="false">
      <c r="A136" s="16" t="s">
        <v>1406</v>
      </c>
      <c r="B136" s="16" t="s">
        <v>38</v>
      </c>
      <c r="C136" s="9" t="s">
        <v>1184</v>
      </c>
      <c r="D136" s="9" t="s">
        <v>39</v>
      </c>
      <c r="E136" s="9" t="s">
        <v>1407</v>
      </c>
      <c r="F136" s="9" t="s">
        <v>1408</v>
      </c>
      <c r="G136" s="9" t="s">
        <v>581</v>
      </c>
      <c r="H136" s="9" t="s">
        <v>560</v>
      </c>
      <c r="I136" s="9" t="s">
        <v>1409</v>
      </c>
      <c r="J136" s="9" t="s">
        <v>1410</v>
      </c>
      <c r="K136" s="9" t="s">
        <v>1207</v>
      </c>
      <c r="L136" s="9" t="s">
        <v>947</v>
      </c>
      <c r="M136" s="9" t="s">
        <v>902</v>
      </c>
      <c r="N136" s="9" t="s">
        <v>948</v>
      </c>
      <c r="O136" s="9" t="s">
        <v>1411</v>
      </c>
      <c r="P136" s="9" t="s">
        <v>904</v>
      </c>
      <c r="Q136" s="9" t="s">
        <v>106</v>
      </c>
      <c r="R136" s="9" t="s">
        <v>1404</v>
      </c>
      <c r="S136" s="9" t="s">
        <v>1405</v>
      </c>
    </row>
    <row r="137" customFormat="false" ht="46.25" hidden="false" customHeight="false" outlineLevel="0" collapsed="false">
      <c r="A137" s="16" t="s">
        <v>1412</v>
      </c>
      <c r="B137" s="16" t="s">
        <v>38</v>
      </c>
      <c r="C137" s="9" t="s">
        <v>1184</v>
      </c>
      <c r="D137" s="9" t="s">
        <v>39</v>
      </c>
      <c r="E137" s="9" t="s">
        <v>1413</v>
      </c>
      <c r="F137" s="9" t="s">
        <v>1414</v>
      </c>
      <c r="G137" s="9" t="s">
        <v>581</v>
      </c>
      <c r="H137" s="9" t="s">
        <v>560</v>
      </c>
      <c r="I137" s="9" t="s">
        <v>1415</v>
      </c>
      <c r="J137" s="9" t="s">
        <v>1416</v>
      </c>
      <c r="K137" s="9" t="s">
        <v>1207</v>
      </c>
      <c r="L137" s="9" t="s">
        <v>947</v>
      </c>
      <c r="M137" s="9" t="s">
        <v>902</v>
      </c>
      <c r="N137" s="9" t="s">
        <v>948</v>
      </c>
      <c r="O137" s="9" t="s">
        <v>1417</v>
      </c>
      <c r="P137" s="9" t="s">
        <v>904</v>
      </c>
      <c r="Q137" s="9" t="s">
        <v>106</v>
      </c>
      <c r="R137" s="9" t="s">
        <v>1404</v>
      </c>
      <c r="S137" s="9" t="s">
        <v>1405</v>
      </c>
    </row>
    <row r="138" customFormat="false" ht="46.25" hidden="false" customHeight="false" outlineLevel="0" collapsed="false">
      <c r="A138" s="16" t="s">
        <v>1418</v>
      </c>
      <c r="B138" s="16" t="s">
        <v>38</v>
      </c>
      <c r="C138" s="9" t="s">
        <v>1184</v>
      </c>
      <c r="D138" s="9" t="s">
        <v>39</v>
      </c>
      <c r="E138" s="9" t="s">
        <v>1419</v>
      </c>
      <c r="F138" s="9" t="s">
        <v>1420</v>
      </c>
      <c r="G138" s="9" t="s">
        <v>581</v>
      </c>
      <c r="H138" s="9" t="s">
        <v>560</v>
      </c>
      <c r="I138" s="9" t="s">
        <v>1421</v>
      </c>
      <c r="J138" s="9" t="s">
        <v>1422</v>
      </c>
      <c r="K138" s="9" t="s">
        <v>1207</v>
      </c>
      <c r="L138" s="9" t="s">
        <v>947</v>
      </c>
      <c r="M138" s="9" t="s">
        <v>902</v>
      </c>
      <c r="N138" s="9" t="s">
        <v>948</v>
      </c>
      <c r="O138" s="9" t="s">
        <v>1423</v>
      </c>
      <c r="P138" s="9" t="s">
        <v>904</v>
      </c>
      <c r="Q138" s="9" t="s">
        <v>106</v>
      </c>
      <c r="R138" s="9" t="s">
        <v>1404</v>
      </c>
      <c r="S138" s="9" t="s">
        <v>1405</v>
      </c>
    </row>
    <row r="139" customFormat="false" ht="46.25" hidden="false" customHeight="false" outlineLevel="0" collapsed="false">
      <c r="A139" s="16" t="s">
        <v>1424</v>
      </c>
      <c r="B139" s="16" t="s">
        <v>38</v>
      </c>
      <c r="C139" s="9" t="s">
        <v>1184</v>
      </c>
      <c r="D139" s="9" t="s">
        <v>39</v>
      </c>
      <c r="E139" s="9" t="s">
        <v>1425</v>
      </c>
      <c r="F139" s="9" t="s">
        <v>1426</v>
      </c>
      <c r="G139" s="9" t="s">
        <v>581</v>
      </c>
      <c r="H139" s="9" t="s">
        <v>560</v>
      </c>
      <c r="I139" s="9" t="s">
        <v>1427</v>
      </c>
      <c r="J139" s="9" t="s">
        <v>1428</v>
      </c>
      <c r="K139" s="9" t="s">
        <v>1207</v>
      </c>
      <c r="L139" s="9" t="s">
        <v>947</v>
      </c>
      <c r="M139" s="9" t="s">
        <v>902</v>
      </c>
      <c r="N139" s="9" t="s">
        <v>948</v>
      </c>
      <c r="O139" s="9" t="s">
        <v>1429</v>
      </c>
      <c r="P139" s="9" t="s">
        <v>904</v>
      </c>
      <c r="Q139" s="9" t="s">
        <v>106</v>
      </c>
      <c r="R139" s="9" t="s">
        <v>1404</v>
      </c>
      <c r="S139" s="9" t="s">
        <v>1405</v>
      </c>
    </row>
    <row r="140" customFormat="false" ht="46.25" hidden="false" customHeight="false" outlineLevel="0" collapsed="false">
      <c r="A140" s="16" t="s">
        <v>1430</v>
      </c>
      <c r="B140" s="16" t="s">
        <v>38</v>
      </c>
      <c r="C140" s="9" t="s">
        <v>1184</v>
      </c>
      <c r="D140" s="9" t="s">
        <v>39</v>
      </c>
      <c r="E140" s="9" t="s">
        <v>1431</v>
      </c>
      <c r="F140" s="9" t="s">
        <v>1432</v>
      </c>
      <c r="G140" s="9" t="s">
        <v>581</v>
      </c>
      <c r="H140" s="9" t="s">
        <v>560</v>
      </c>
      <c r="I140" s="9" t="s">
        <v>1433</v>
      </c>
      <c r="J140" s="9" t="s">
        <v>1434</v>
      </c>
      <c r="K140" s="9" t="s">
        <v>1207</v>
      </c>
      <c r="L140" s="9" t="s">
        <v>947</v>
      </c>
      <c r="M140" s="9" t="s">
        <v>902</v>
      </c>
      <c r="N140" s="9" t="s">
        <v>948</v>
      </c>
      <c r="O140" s="9" t="s">
        <v>1435</v>
      </c>
      <c r="P140" s="9" t="s">
        <v>904</v>
      </c>
      <c r="Q140" s="9" t="s">
        <v>106</v>
      </c>
      <c r="R140" s="9" t="s">
        <v>1404</v>
      </c>
      <c r="S140" s="9" t="s">
        <v>1405</v>
      </c>
    </row>
    <row r="141" customFormat="false" ht="46.25" hidden="false" customHeight="false" outlineLevel="0" collapsed="false">
      <c r="A141" s="16" t="s">
        <v>1436</v>
      </c>
      <c r="B141" s="16" t="s">
        <v>38</v>
      </c>
      <c r="C141" s="9" t="s">
        <v>1184</v>
      </c>
      <c r="D141" s="9" t="s">
        <v>39</v>
      </c>
      <c r="E141" s="9" t="s">
        <v>1437</v>
      </c>
      <c r="F141" s="9" t="s">
        <v>1438</v>
      </c>
      <c r="G141" s="9" t="s">
        <v>581</v>
      </c>
      <c r="H141" s="9" t="s">
        <v>560</v>
      </c>
      <c r="I141" s="9" t="s">
        <v>1439</v>
      </c>
      <c r="J141" s="9" t="s">
        <v>1440</v>
      </c>
      <c r="K141" s="9" t="s">
        <v>1207</v>
      </c>
      <c r="L141" s="9" t="s">
        <v>947</v>
      </c>
      <c r="M141" s="9" t="s">
        <v>902</v>
      </c>
      <c r="N141" s="9" t="s">
        <v>948</v>
      </c>
      <c r="O141" s="9" t="s">
        <v>1441</v>
      </c>
      <c r="P141" s="9" t="s">
        <v>904</v>
      </c>
      <c r="Q141" s="9" t="s">
        <v>106</v>
      </c>
      <c r="R141" s="9" t="s">
        <v>1404</v>
      </c>
      <c r="S141" s="9" t="s">
        <v>1405</v>
      </c>
    </row>
    <row r="142" customFormat="false" ht="46.25" hidden="false" customHeight="false" outlineLevel="0" collapsed="false">
      <c r="A142" s="16" t="s">
        <v>1442</v>
      </c>
      <c r="B142" s="16" t="s">
        <v>38</v>
      </c>
      <c r="C142" s="9" t="s">
        <v>1184</v>
      </c>
      <c r="D142" s="9" t="s">
        <v>39</v>
      </c>
      <c r="E142" s="9" t="s">
        <v>1443</v>
      </c>
      <c r="F142" s="9" t="s">
        <v>1444</v>
      </c>
      <c r="G142" s="9" t="s">
        <v>581</v>
      </c>
      <c r="H142" s="9" t="s">
        <v>560</v>
      </c>
      <c r="I142" s="9" t="s">
        <v>1445</v>
      </c>
      <c r="J142" s="9" t="s">
        <v>1446</v>
      </c>
      <c r="K142" s="9" t="s">
        <v>1207</v>
      </c>
      <c r="L142" s="9" t="s">
        <v>947</v>
      </c>
      <c r="M142" s="9" t="s">
        <v>902</v>
      </c>
      <c r="N142" s="9" t="s">
        <v>948</v>
      </c>
      <c r="O142" s="9" t="s">
        <v>1447</v>
      </c>
      <c r="P142" s="9" t="s">
        <v>904</v>
      </c>
      <c r="Q142" s="9" t="s">
        <v>106</v>
      </c>
      <c r="R142" s="9" t="s">
        <v>1404</v>
      </c>
      <c r="S142" s="9" t="s">
        <v>1405</v>
      </c>
    </row>
    <row r="143" customFormat="false" ht="46.25" hidden="false" customHeight="false" outlineLevel="0" collapsed="false">
      <c r="A143" s="16" t="s">
        <v>1448</v>
      </c>
      <c r="B143" s="16" t="s">
        <v>38</v>
      </c>
      <c r="C143" s="9" t="s">
        <v>1184</v>
      </c>
      <c r="D143" s="9" t="s">
        <v>39</v>
      </c>
      <c r="E143" s="9" t="s">
        <v>1449</v>
      </c>
      <c r="F143" s="9" t="s">
        <v>1450</v>
      </c>
      <c r="G143" s="9" t="s">
        <v>581</v>
      </c>
      <c r="H143" s="9" t="s">
        <v>560</v>
      </c>
      <c r="I143" s="9" t="s">
        <v>1451</v>
      </c>
      <c r="J143" s="9" t="s">
        <v>1452</v>
      </c>
      <c r="K143" s="9" t="s">
        <v>1207</v>
      </c>
      <c r="L143" s="9" t="s">
        <v>947</v>
      </c>
      <c r="M143" s="9" t="s">
        <v>902</v>
      </c>
      <c r="N143" s="9" t="s">
        <v>948</v>
      </c>
      <c r="O143" s="9" t="s">
        <v>1453</v>
      </c>
      <c r="P143" s="9" t="s">
        <v>904</v>
      </c>
      <c r="Q143" s="9" t="s">
        <v>106</v>
      </c>
      <c r="R143" s="9" t="s">
        <v>1404</v>
      </c>
      <c r="S143" s="9" t="s">
        <v>1405</v>
      </c>
    </row>
    <row r="144" customFormat="false" ht="46.25" hidden="false" customHeight="false" outlineLevel="0" collapsed="false">
      <c r="A144" s="16" t="s">
        <v>1454</v>
      </c>
      <c r="B144" s="16" t="s">
        <v>38</v>
      </c>
      <c r="C144" s="9" t="s">
        <v>1184</v>
      </c>
      <c r="D144" s="9" t="s">
        <v>39</v>
      </c>
      <c r="E144" s="9" t="s">
        <v>1455</v>
      </c>
      <c r="F144" s="9" t="s">
        <v>1456</v>
      </c>
      <c r="G144" s="9" t="s">
        <v>581</v>
      </c>
      <c r="H144" s="9" t="s">
        <v>560</v>
      </c>
      <c r="I144" s="9" t="s">
        <v>1457</v>
      </c>
      <c r="J144" s="9" t="s">
        <v>1458</v>
      </c>
      <c r="K144" s="9" t="s">
        <v>1207</v>
      </c>
      <c r="L144" s="9" t="s">
        <v>947</v>
      </c>
      <c r="M144" s="9" t="s">
        <v>902</v>
      </c>
      <c r="N144" s="9" t="s">
        <v>948</v>
      </c>
      <c r="O144" s="9" t="s">
        <v>1459</v>
      </c>
      <c r="P144" s="9" t="s">
        <v>904</v>
      </c>
      <c r="Q144" s="9" t="s">
        <v>106</v>
      </c>
      <c r="R144" s="9" t="s">
        <v>1404</v>
      </c>
      <c r="S144" s="9" t="s">
        <v>1405</v>
      </c>
    </row>
    <row r="145" customFormat="false" ht="46.25" hidden="false" customHeight="false" outlineLevel="0" collapsed="false">
      <c r="A145" s="16" t="s">
        <v>1460</v>
      </c>
      <c r="B145" s="16" t="s">
        <v>38</v>
      </c>
      <c r="C145" s="9" t="s">
        <v>1184</v>
      </c>
      <c r="D145" s="9" t="s">
        <v>39</v>
      </c>
      <c r="E145" s="9" t="s">
        <v>1461</v>
      </c>
      <c r="F145" s="9" t="s">
        <v>1462</v>
      </c>
      <c r="G145" s="9" t="s">
        <v>394</v>
      </c>
      <c r="H145" s="9" t="s">
        <v>560</v>
      </c>
      <c r="I145" s="9" t="s">
        <v>1463</v>
      </c>
      <c r="J145" s="9" t="s">
        <v>1464</v>
      </c>
      <c r="K145" s="9" t="s">
        <v>1207</v>
      </c>
      <c r="L145" s="9" t="s">
        <v>106</v>
      </c>
      <c r="M145" s="9" t="s">
        <v>902</v>
      </c>
      <c r="N145" s="9" t="s">
        <v>948</v>
      </c>
      <c r="O145" s="9" t="s">
        <v>1465</v>
      </c>
      <c r="P145" s="9" t="s">
        <v>904</v>
      </c>
      <c r="Q145" s="9" t="s">
        <v>106</v>
      </c>
      <c r="R145" s="9" t="s">
        <v>1404</v>
      </c>
      <c r="S145" s="9" t="s">
        <v>1405</v>
      </c>
    </row>
    <row r="146" customFormat="false" ht="68.65" hidden="false" customHeight="false" outlineLevel="0" collapsed="false">
      <c r="A146" s="16" t="s">
        <v>1466</v>
      </c>
      <c r="B146" s="16" t="s">
        <v>48</v>
      </c>
      <c r="C146" s="9" t="s">
        <v>690</v>
      </c>
      <c r="D146" s="9" t="s">
        <v>50</v>
      </c>
      <c r="E146" s="9" t="s">
        <v>1467</v>
      </c>
      <c r="F146" s="9" t="s">
        <v>1468</v>
      </c>
      <c r="G146" s="9" t="s">
        <v>293</v>
      </c>
      <c r="H146" s="9" t="s">
        <v>106</v>
      </c>
      <c r="I146" s="9" t="s">
        <v>1469</v>
      </c>
      <c r="J146" s="9" t="s">
        <v>106</v>
      </c>
      <c r="K146" s="9" t="s">
        <v>1470</v>
      </c>
      <c r="L146" s="9" t="s">
        <v>106</v>
      </c>
      <c r="M146" s="9" t="s">
        <v>1471</v>
      </c>
      <c r="N146" s="9" t="s">
        <v>106</v>
      </c>
      <c r="O146" s="9" t="s">
        <v>1472</v>
      </c>
      <c r="P146" s="9" t="s">
        <v>106</v>
      </c>
      <c r="Q146" s="9" t="s">
        <v>1473</v>
      </c>
      <c r="R146" s="9" t="s">
        <v>1474</v>
      </c>
      <c r="S146" s="9" t="s">
        <v>1475</v>
      </c>
    </row>
    <row r="147" customFormat="false" ht="68.65" hidden="false" customHeight="false" outlineLevel="0" collapsed="false">
      <c r="A147" s="16" t="s">
        <v>1476</v>
      </c>
      <c r="B147" s="16" t="s">
        <v>48</v>
      </c>
      <c r="C147" s="9" t="s">
        <v>690</v>
      </c>
      <c r="D147" s="9" t="s">
        <v>50</v>
      </c>
      <c r="E147" s="9" t="s">
        <v>1477</v>
      </c>
      <c r="F147" s="9" t="s">
        <v>1478</v>
      </c>
      <c r="G147" s="9" t="s">
        <v>705</v>
      </c>
      <c r="H147" s="9" t="s">
        <v>106</v>
      </c>
      <c r="I147" s="9" t="s">
        <v>106</v>
      </c>
      <c r="J147" s="9" t="s">
        <v>106</v>
      </c>
      <c r="K147" s="9" t="s">
        <v>1470</v>
      </c>
      <c r="L147" s="9" t="s">
        <v>106</v>
      </c>
      <c r="M147" s="9" t="s">
        <v>1479</v>
      </c>
      <c r="N147" s="9" t="s">
        <v>1480</v>
      </c>
      <c r="O147" s="9" t="s">
        <v>1481</v>
      </c>
      <c r="P147" s="9" t="s">
        <v>308</v>
      </c>
      <c r="Q147" s="9" t="s">
        <v>1482</v>
      </c>
      <c r="R147" s="9" t="s">
        <v>1483</v>
      </c>
      <c r="S147" s="9" t="s">
        <v>1475</v>
      </c>
    </row>
    <row r="148" customFormat="false" ht="68.65" hidden="false" customHeight="false" outlineLevel="0" collapsed="false">
      <c r="A148" s="15" t="s">
        <v>1484</v>
      </c>
      <c r="B148" s="16" t="s">
        <v>48</v>
      </c>
      <c r="C148" s="9" t="s">
        <v>690</v>
      </c>
      <c r="D148" s="9" t="s">
        <v>50</v>
      </c>
      <c r="E148" s="9" t="s">
        <v>1485</v>
      </c>
      <c r="F148" s="9" t="s">
        <v>1486</v>
      </c>
      <c r="G148" s="9" t="s">
        <v>705</v>
      </c>
      <c r="H148" s="9" t="s">
        <v>106</v>
      </c>
      <c r="I148" s="9" t="s">
        <v>106</v>
      </c>
      <c r="J148" s="9" t="s">
        <v>106</v>
      </c>
      <c r="K148" s="9" t="s">
        <v>1470</v>
      </c>
      <c r="L148" s="9" t="s">
        <v>106</v>
      </c>
      <c r="M148" s="9" t="s">
        <v>931</v>
      </c>
      <c r="N148" s="9" t="s">
        <v>1480</v>
      </c>
      <c r="O148" s="9" t="s">
        <v>1487</v>
      </c>
      <c r="P148" s="9" t="s">
        <v>308</v>
      </c>
      <c r="Q148" s="9" t="s">
        <v>1482</v>
      </c>
      <c r="R148" s="9" t="s">
        <v>106</v>
      </c>
      <c r="S148" s="9" t="s">
        <v>1475</v>
      </c>
    </row>
    <row r="149" customFormat="false" ht="68.65" hidden="false" customHeight="false" outlineLevel="0" collapsed="false">
      <c r="A149" s="16" t="s">
        <v>1488</v>
      </c>
      <c r="B149" s="16" t="s">
        <v>48</v>
      </c>
      <c r="C149" s="9" t="s">
        <v>690</v>
      </c>
      <c r="D149" s="9" t="s">
        <v>50</v>
      </c>
      <c r="E149" s="9" t="s">
        <v>1489</v>
      </c>
      <c r="F149" s="9" t="s">
        <v>1490</v>
      </c>
      <c r="G149" s="9" t="s">
        <v>705</v>
      </c>
      <c r="H149" s="9" t="s">
        <v>106</v>
      </c>
      <c r="I149" s="9" t="s">
        <v>106</v>
      </c>
      <c r="J149" s="9" t="s">
        <v>106</v>
      </c>
      <c r="K149" s="9" t="s">
        <v>1470</v>
      </c>
      <c r="L149" s="9" t="s">
        <v>106</v>
      </c>
      <c r="M149" s="9" t="s">
        <v>1491</v>
      </c>
      <c r="N149" s="9" t="s">
        <v>1480</v>
      </c>
      <c r="O149" s="9" t="s">
        <v>1492</v>
      </c>
      <c r="P149" s="9" t="s">
        <v>106</v>
      </c>
      <c r="Q149" s="9" t="s">
        <v>1482</v>
      </c>
      <c r="R149" s="9" t="s">
        <v>106</v>
      </c>
      <c r="S149" s="9" t="s">
        <v>1475</v>
      </c>
    </row>
    <row r="150" customFormat="false" ht="68.65" hidden="false" customHeight="false" outlineLevel="0" collapsed="false">
      <c r="A150" s="16" t="s">
        <v>1493</v>
      </c>
      <c r="B150" s="16" t="s">
        <v>48</v>
      </c>
      <c r="C150" s="9" t="s">
        <v>690</v>
      </c>
      <c r="D150" s="9" t="s">
        <v>50</v>
      </c>
      <c r="E150" s="9" t="s">
        <v>1494</v>
      </c>
      <c r="F150" s="9" t="s">
        <v>1495</v>
      </c>
      <c r="G150" s="9" t="s">
        <v>394</v>
      </c>
      <c r="H150" s="9" t="s">
        <v>560</v>
      </c>
      <c r="I150" s="9" t="s">
        <v>1496</v>
      </c>
      <c r="J150" s="9" t="s">
        <v>1497</v>
      </c>
      <c r="K150" s="9" t="s">
        <v>1470</v>
      </c>
      <c r="L150" s="9" t="s">
        <v>1498</v>
      </c>
      <c r="M150" s="9" t="s">
        <v>1499</v>
      </c>
      <c r="N150" s="9" t="s">
        <v>1500</v>
      </c>
      <c r="O150" s="9" t="s">
        <v>1501</v>
      </c>
      <c r="P150" s="9" t="s">
        <v>401</v>
      </c>
      <c r="Q150" s="9" t="s">
        <v>1473</v>
      </c>
      <c r="R150" s="9" t="s">
        <v>1502</v>
      </c>
      <c r="S150" s="9" t="s">
        <v>1475</v>
      </c>
    </row>
    <row r="151" customFormat="false" ht="68.65" hidden="false" customHeight="false" outlineLevel="0" collapsed="false">
      <c r="A151" s="16" t="s">
        <v>1503</v>
      </c>
      <c r="B151" s="16" t="s">
        <v>48</v>
      </c>
      <c r="C151" s="9" t="s">
        <v>1504</v>
      </c>
      <c r="D151" s="9" t="s">
        <v>50</v>
      </c>
      <c r="E151" s="9" t="s">
        <v>1505</v>
      </c>
      <c r="F151" s="9" t="s">
        <v>1506</v>
      </c>
      <c r="G151" s="9" t="s">
        <v>559</v>
      </c>
      <c r="H151" s="9" t="s">
        <v>395</v>
      </c>
      <c r="I151" s="9" t="s">
        <v>1507</v>
      </c>
      <c r="J151" s="9" t="s">
        <v>106</v>
      </c>
      <c r="K151" s="9" t="s">
        <v>1470</v>
      </c>
      <c r="L151" s="9" t="s">
        <v>106</v>
      </c>
      <c r="M151" s="9" t="s">
        <v>1508</v>
      </c>
      <c r="N151" s="9" t="s">
        <v>1509</v>
      </c>
      <c r="O151" s="9" t="s">
        <v>1510</v>
      </c>
      <c r="P151" s="9" t="s">
        <v>904</v>
      </c>
      <c r="Q151" s="9" t="s">
        <v>1511</v>
      </c>
      <c r="R151" s="9" t="s">
        <v>1502</v>
      </c>
      <c r="S151" s="9" t="s">
        <v>1475</v>
      </c>
    </row>
    <row r="152" customFormat="false" ht="68.65" hidden="false" customHeight="false" outlineLevel="0" collapsed="false">
      <c r="A152" s="16" t="s">
        <v>1512</v>
      </c>
      <c r="B152" s="16" t="s">
        <v>48</v>
      </c>
      <c r="C152" s="9" t="s">
        <v>1504</v>
      </c>
      <c r="D152" s="9" t="s">
        <v>50</v>
      </c>
      <c r="E152" s="9" t="s">
        <v>1513</v>
      </c>
      <c r="F152" s="9" t="s">
        <v>1514</v>
      </c>
      <c r="G152" s="9" t="s">
        <v>559</v>
      </c>
      <c r="H152" s="9" t="s">
        <v>395</v>
      </c>
      <c r="I152" s="9" t="s">
        <v>1515</v>
      </c>
      <c r="J152" s="9" t="s">
        <v>106</v>
      </c>
      <c r="K152" s="9" t="s">
        <v>1470</v>
      </c>
      <c r="L152" s="9" t="s">
        <v>1516</v>
      </c>
      <c r="M152" s="9" t="s">
        <v>1517</v>
      </c>
      <c r="N152" s="9" t="s">
        <v>1509</v>
      </c>
      <c r="O152" s="9" t="s">
        <v>1510</v>
      </c>
      <c r="P152" s="9" t="s">
        <v>904</v>
      </c>
      <c r="Q152" s="9" t="s">
        <v>960</v>
      </c>
      <c r="R152" s="9" t="s">
        <v>1518</v>
      </c>
      <c r="S152" s="9" t="s">
        <v>1475</v>
      </c>
    </row>
    <row r="153" customFormat="false" ht="68.65" hidden="false" customHeight="false" outlineLevel="0" collapsed="false">
      <c r="A153" s="16" t="s">
        <v>1519</v>
      </c>
      <c r="B153" s="16" t="s">
        <v>48</v>
      </c>
      <c r="C153" s="9" t="s">
        <v>1520</v>
      </c>
      <c r="D153" s="9" t="s">
        <v>50</v>
      </c>
      <c r="E153" s="9" t="s">
        <v>1521</v>
      </c>
      <c r="F153" s="9" t="s">
        <v>1522</v>
      </c>
      <c r="G153" s="9" t="s">
        <v>965</v>
      </c>
      <c r="H153" s="9" t="s">
        <v>395</v>
      </c>
      <c r="I153" s="9" t="s">
        <v>1523</v>
      </c>
      <c r="J153" s="9" t="s">
        <v>106</v>
      </c>
      <c r="K153" s="9" t="s">
        <v>1470</v>
      </c>
      <c r="L153" s="9" t="s">
        <v>1524</v>
      </c>
      <c r="M153" s="9" t="s">
        <v>1525</v>
      </c>
      <c r="N153" s="9" t="s">
        <v>1526</v>
      </c>
      <c r="O153" s="9" t="s">
        <v>1527</v>
      </c>
      <c r="P153" s="9" t="s">
        <v>106</v>
      </c>
      <c r="Q153" s="9" t="s">
        <v>982</v>
      </c>
      <c r="R153" s="9" t="s">
        <v>1518</v>
      </c>
      <c r="S153" s="9" t="s">
        <v>1475</v>
      </c>
    </row>
    <row r="154" customFormat="false" ht="68.65" hidden="false" customHeight="false" outlineLevel="0" collapsed="false">
      <c r="A154" s="16" t="s">
        <v>1528</v>
      </c>
      <c r="B154" s="16" t="s">
        <v>48</v>
      </c>
      <c r="C154" s="9" t="s">
        <v>1520</v>
      </c>
      <c r="D154" s="9" t="s">
        <v>50</v>
      </c>
      <c r="E154" s="9" t="s">
        <v>1529</v>
      </c>
      <c r="F154" s="9" t="s">
        <v>1530</v>
      </c>
      <c r="G154" s="9" t="s">
        <v>293</v>
      </c>
      <c r="H154" s="9" t="s">
        <v>106</v>
      </c>
      <c r="I154" s="9" t="s">
        <v>1531</v>
      </c>
      <c r="J154" s="9" t="s">
        <v>106</v>
      </c>
      <c r="K154" s="9" t="s">
        <v>1470</v>
      </c>
      <c r="L154" s="9" t="s">
        <v>106</v>
      </c>
      <c r="M154" s="9" t="s">
        <v>1532</v>
      </c>
      <c r="N154" s="9" t="s">
        <v>1526</v>
      </c>
      <c r="O154" s="9" t="s">
        <v>1533</v>
      </c>
      <c r="P154" s="9" t="s">
        <v>106</v>
      </c>
      <c r="Q154" s="9" t="s">
        <v>982</v>
      </c>
      <c r="R154" s="9" t="s">
        <v>1518</v>
      </c>
      <c r="S154" s="9" t="s">
        <v>1475</v>
      </c>
    </row>
    <row r="155" customFormat="false" ht="68.65" hidden="false" customHeight="false" outlineLevel="0" collapsed="false">
      <c r="A155" s="16" t="s">
        <v>1534</v>
      </c>
      <c r="B155" s="16" t="s">
        <v>48</v>
      </c>
      <c r="C155" s="9" t="s">
        <v>1535</v>
      </c>
      <c r="D155" s="9" t="s">
        <v>50</v>
      </c>
      <c r="E155" s="9" t="s">
        <v>1536</v>
      </c>
      <c r="F155" s="9" t="s">
        <v>1537</v>
      </c>
      <c r="G155" s="9" t="s">
        <v>394</v>
      </c>
      <c r="H155" s="9" t="s">
        <v>560</v>
      </c>
      <c r="I155" s="9" t="s">
        <v>1538</v>
      </c>
      <c r="J155" s="9" t="s">
        <v>397</v>
      </c>
      <c r="K155" s="9" t="s">
        <v>1470</v>
      </c>
      <c r="L155" s="9" t="s">
        <v>1539</v>
      </c>
      <c r="M155" s="9" t="s">
        <v>1499</v>
      </c>
      <c r="N155" s="9" t="s">
        <v>1540</v>
      </c>
      <c r="O155" s="9" t="s">
        <v>1541</v>
      </c>
      <c r="P155" s="9" t="s">
        <v>401</v>
      </c>
      <c r="Q155" s="9" t="s">
        <v>1542</v>
      </c>
      <c r="R155" s="9" t="s">
        <v>1543</v>
      </c>
      <c r="S155" s="9" t="s">
        <v>1475</v>
      </c>
    </row>
    <row r="156" customFormat="false" ht="46.25" hidden="false" customHeight="false" outlineLevel="0" collapsed="false">
      <c r="A156" s="16" t="s">
        <v>1544</v>
      </c>
      <c r="B156" s="16" t="s">
        <v>58</v>
      </c>
      <c r="C156" s="9" t="s">
        <v>690</v>
      </c>
      <c r="D156" s="9" t="s">
        <v>59</v>
      </c>
      <c r="E156" s="9" t="s">
        <v>1545</v>
      </c>
      <c r="F156" s="9" t="s">
        <v>1546</v>
      </c>
      <c r="G156" s="9" t="s">
        <v>705</v>
      </c>
      <c r="H156" s="9" t="s">
        <v>106</v>
      </c>
      <c r="I156" s="9" t="s">
        <v>106</v>
      </c>
      <c r="J156" s="9" t="s">
        <v>106</v>
      </c>
      <c r="K156" s="9" t="s">
        <v>873</v>
      </c>
      <c r="L156" s="9" t="s">
        <v>106</v>
      </c>
      <c r="M156" s="9" t="s">
        <v>1547</v>
      </c>
      <c r="N156" s="9" t="s">
        <v>1548</v>
      </c>
      <c r="O156" s="9" t="s">
        <v>1549</v>
      </c>
      <c r="P156" s="9" t="s">
        <v>106</v>
      </c>
      <c r="Q156" s="9" t="s">
        <v>1550</v>
      </c>
      <c r="R156" s="9" t="s">
        <v>106</v>
      </c>
      <c r="S156" s="9" t="s">
        <v>1551</v>
      </c>
    </row>
    <row r="157" customFormat="false" ht="46.25" hidden="false" customHeight="false" outlineLevel="0" collapsed="false">
      <c r="A157" s="16" t="s">
        <v>1552</v>
      </c>
      <c r="B157" s="16" t="s">
        <v>58</v>
      </c>
      <c r="C157" s="9" t="s">
        <v>690</v>
      </c>
      <c r="D157" s="9" t="s">
        <v>59</v>
      </c>
      <c r="E157" s="9" t="s">
        <v>888</v>
      </c>
      <c r="F157" s="9" t="s">
        <v>1553</v>
      </c>
      <c r="G157" s="9" t="s">
        <v>705</v>
      </c>
      <c r="H157" s="9" t="s">
        <v>106</v>
      </c>
      <c r="I157" s="9" t="s">
        <v>106</v>
      </c>
      <c r="J157" s="9" t="s">
        <v>106</v>
      </c>
      <c r="K157" s="9" t="s">
        <v>873</v>
      </c>
      <c r="L157" s="9" t="s">
        <v>106</v>
      </c>
      <c r="M157" s="9" t="s">
        <v>1554</v>
      </c>
      <c r="N157" s="9" t="s">
        <v>1548</v>
      </c>
      <c r="O157" s="9" t="s">
        <v>1555</v>
      </c>
      <c r="P157" s="9" t="s">
        <v>308</v>
      </c>
      <c r="Q157" s="9" t="s">
        <v>1550</v>
      </c>
      <c r="R157" s="9" t="s">
        <v>1556</v>
      </c>
      <c r="S157" s="9" t="s">
        <v>1551</v>
      </c>
    </row>
    <row r="158" customFormat="false" ht="46.25" hidden="false" customHeight="false" outlineLevel="0" collapsed="false">
      <c r="A158" s="16" t="s">
        <v>1557</v>
      </c>
      <c r="B158" s="16" t="s">
        <v>58</v>
      </c>
      <c r="C158" s="9" t="s">
        <v>690</v>
      </c>
      <c r="D158" s="9" t="s">
        <v>59</v>
      </c>
      <c r="E158" s="9" t="s">
        <v>1558</v>
      </c>
      <c r="F158" s="9" t="s">
        <v>1559</v>
      </c>
      <c r="G158" s="9" t="s">
        <v>27</v>
      </c>
      <c r="H158" s="9" t="s">
        <v>106</v>
      </c>
      <c r="I158" s="9" t="s">
        <v>1560</v>
      </c>
      <c r="J158" s="9" t="s">
        <v>106</v>
      </c>
      <c r="K158" s="9" t="s">
        <v>873</v>
      </c>
      <c r="L158" s="9" t="s">
        <v>106</v>
      </c>
      <c r="M158" s="9" t="s">
        <v>1561</v>
      </c>
      <c r="N158" s="9" t="s">
        <v>1548</v>
      </c>
      <c r="O158" s="9" t="s">
        <v>1562</v>
      </c>
      <c r="P158" s="9" t="s">
        <v>1563</v>
      </c>
      <c r="Q158" s="9" t="s">
        <v>1550</v>
      </c>
      <c r="R158" s="9" t="s">
        <v>1556</v>
      </c>
      <c r="S158" s="9" t="s">
        <v>1551</v>
      </c>
    </row>
    <row r="159" customFormat="false" ht="46.25" hidden="false" customHeight="false" outlineLevel="0" collapsed="false">
      <c r="A159" s="15" t="s">
        <v>1564</v>
      </c>
      <c r="B159" s="16" t="s">
        <v>58</v>
      </c>
      <c r="C159" s="9" t="s">
        <v>690</v>
      </c>
      <c r="D159" s="9" t="s">
        <v>59</v>
      </c>
      <c r="E159" s="9" t="s">
        <v>1565</v>
      </c>
      <c r="F159" s="9" t="s">
        <v>1566</v>
      </c>
      <c r="G159" s="9" t="s">
        <v>705</v>
      </c>
      <c r="H159" s="9" t="s">
        <v>106</v>
      </c>
      <c r="I159" s="9" t="s">
        <v>1567</v>
      </c>
      <c r="J159" s="9" t="s">
        <v>106</v>
      </c>
      <c r="K159" s="9" t="s">
        <v>873</v>
      </c>
      <c r="L159" s="9" t="s">
        <v>106</v>
      </c>
      <c r="M159" s="9" t="s">
        <v>1568</v>
      </c>
      <c r="N159" s="9" t="s">
        <v>1548</v>
      </c>
      <c r="O159" s="9" t="s">
        <v>1569</v>
      </c>
      <c r="P159" s="9" t="s">
        <v>308</v>
      </c>
      <c r="Q159" s="9" t="s">
        <v>1550</v>
      </c>
      <c r="R159" s="9" t="s">
        <v>1570</v>
      </c>
      <c r="S159" s="9" t="s">
        <v>1551</v>
      </c>
    </row>
    <row r="160" customFormat="false" ht="46.25" hidden="false" customHeight="false" outlineLevel="0" collapsed="false">
      <c r="A160" s="16" t="s">
        <v>1571</v>
      </c>
      <c r="B160" s="16" t="s">
        <v>58</v>
      </c>
      <c r="C160" s="9" t="s">
        <v>690</v>
      </c>
      <c r="D160" s="9" t="s">
        <v>59</v>
      </c>
      <c r="E160" s="9" t="s">
        <v>1572</v>
      </c>
      <c r="F160" s="9" t="s">
        <v>1573</v>
      </c>
      <c r="G160" s="9" t="s">
        <v>705</v>
      </c>
      <c r="H160" s="9" t="s">
        <v>106</v>
      </c>
      <c r="I160" s="9" t="s">
        <v>1574</v>
      </c>
      <c r="J160" s="9" t="s">
        <v>106</v>
      </c>
      <c r="K160" s="9" t="s">
        <v>873</v>
      </c>
      <c r="L160" s="9" t="s">
        <v>106</v>
      </c>
      <c r="M160" s="9" t="s">
        <v>305</v>
      </c>
      <c r="N160" s="9" t="s">
        <v>1548</v>
      </c>
      <c r="O160" s="9" t="s">
        <v>1575</v>
      </c>
      <c r="P160" s="9" t="s">
        <v>308</v>
      </c>
      <c r="Q160" s="9" t="s">
        <v>1576</v>
      </c>
      <c r="R160" s="9" t="s">
        <v>1577</v>
      </c>
      <c r="S160" s="9" t="s">
        <v>1551</v>
      </c>
    </row>
    <row r="161" customFormat="false" ht="46.25" hidden="false" customHeight="false" outlineLevel="0" collapsed="false">
      <c r="A161" s="15" t="s">
        <v>1578</v>
      </c>
      <c r="B161" s="16" t="s">
        <v>58</v>
      </c>
      <c r="C161" s="9" t="s">
        <v>690</v>
      </c>
      <c r="D161" s="9" t="s">
        <v>59</v>
      </c>
      <c r="E161" s="9" t="s">
        <v>1579</v>
      </c>
      <c r="F161" s="9" t="s">
        <v>1580</v>
      </c>
      <c r="G161" s="9" t="s">
        <v>705</v>
      </c>
      <c r="H161" s="9" t="s">
        <v>106</v>
      </c>
      <c r="I161" s="9" t="s">
        <v>1581</v>
      </c>
      <c r="J161" s="9" t="s">
        <v>106</v>
      </c>
      <c r="K161" s="9" t="s">
        <v>873</v>
      </c>
      <c r="L161" s="9" t="s">
        <v>106</v>
      </c>
      <c r="M161" s="9" t="s">
        <v>1582</v>
      </c>
      <c r="N161" s="9" t="s">
        <v>1548</v>
      </c>
      <c r="O161" s="9" t="s">
        <v>1583</v>
      </c>
      <c r="P161" s="9" t="s">
        <v>904</v>
      </c>
      <c r="Q161" s="9" t="s">
        <v>1584</v>
      </c>
      <c r="R161" s="9" t="s">
        <v>106</v>
      </c>
      <c r="S161" s="9" t="s">
        <v>1551</v>
      </c>
    </row>
    <row r="162" customFormat="false" ht="46.25" hidden="false" customHeight="false" outlineLevel="0" collapsed="false">
      <c r="A162" s="16" t="s">
        <v>1585</v>
      </c>
      <c r="B162" s="16" t="s">
        <v>58</v>
      </c>
      <c r="C162" s="9" t="s">
        <v>690</v>
      </c>
      <c r="D162" s="9" t="s">
        <v>59</v>
      </c>
      <c r="E162" s="9" t="s">
        <v>1586</v>
      </c>
      <c r="F162" s="9" t="s">
        <v>1587</v>
      </c>
      <c r="G162" s="9" t="s">
        <v>705</v>
      </c>
      <c r="H162" s="9" t="s">
        <v>106</v>
      </c>
      <c r="I162" s="9" t="s">
        <v>1588</v>
      </c>
      <c r="J162" s="9" t="s">
        <v>106</v>
      </c>
      <c r="K162" s="9" t="s">
        <v>873</v>
      </c>
      <c r="L162" s="9" t="s">
        <v>106</v>
      </c>
      <c r="M162" s="9" t="s">
        <v>1589</v>
      </c>
      <c r="N162" s="9" t="s">
        <v>1548</v>
      </c>
      <c r="O162" s="9" t="s">
        <v>1583</v>
      </c>
      <c r="P162" s="9" t="s">
        <v>904</v>
      </c>
      <c r="Q162" s="9" t="s">
        <v>1584</v>
      </c>
      <c r="R162" s="9" t="s">
        <v>106</v>
      </c>
      <c r="S162" s="9" t="s">
        <v>1551</v>
      </c>
    </row>
    <row r="163" customFormat="false" ht="46.25" hidden="false" customHeight="false" outlineLevel="0" collapsed="false">
      <c r="A163" s="16" t="s">
        <v>1590</v>
      </c>
      <c r="B163" s="16" t="s">
        <v>58</v>
      </c>
      <c r="C163" s="9" t="s">
        <v>690</v>
      </c>
      <c r="D163" s="9" t="s">
        <v>59</v>
      </c>
      <c r="E163" s="9" t="s">
        <v>1591</v>
      </c>
      <c r="F163" s="9" t="s">
        <v>1592</v>
      </c>
      <c r="G163" s="9" t="s">
        <v>705</v>
      </c>
      <c r="H163" s="9" t="s">
        <v>106</v>
      </c>
      <c r="I163" s="9" t="s">
        <v>1593</v>
      </c>
      <c r="J163" s="9" t="s">
        <v>106</v>
      </c>
      <c r="K163" s="9" t="s">
        <v>873</v>
      </c>
      <c r="L163" s="9" t="s">
        <v>106</v>
      </c>
      <c r="M163" s="9" t="s">
        <v>593</v>
      </c>
      <c r="N163" s="9" t="s">
        <v>1548</v>
      </c>
      <c r="O163" s="9" t="s">
        <v>594</v>
      </c>
      <c r="P163" s="9" t="s">
        <v>595</v>
      </c>
      <c r="Q163" s="9" t="s">
        <v>1550</v>
      </c>
      <c r="R163" s="9" t="s">
        <v>597</v>
      </c>
      <c r="S163" s="9" t="s">
        <v>1551</v>
      </c>
    </row>
    <row r="164" customFormat="false" ht="46.25" hidden="false" customHeight="false" outlineLevel="0" collapsed="false">
      <c r="A164" s="16" t="s">
        <v>1594</v>
      </c>
      <c r="B164" s="16" t="s">
        <v>58</v>
      </c>
      <c r="C164" s="9" t="s">
        <v>690</v>
      </c>
      <c r="D164" s="9" t="s">
        <v>59</v>
      </c>
      <c r="E164" s="9" t="s">
        <v>1595</v>
      </c>
      <c r="F164" s="9" t="s">
        <v>1596</v>
      </c>
      <c r="G164" s="9" t="s">
        <v>705</v>
      </c>
      <c r="H164" s="9" t="s">
        <v>106</v>
      </c>
      <c r="I164" s="9" t="s">
        <v>1597</v>
      </c>
      <c r="J164" s="9" t="s">
        <v>106</v>
      </c>
      <c r="K164" s="9" t="s">
        <v>873</v>
      </c>
      <c r="L164" s="9" t="s">
        <v>106</v>
      </c>
      <c r="M164" s="9" t="s">
        <v>864</v>
      </c>
      <c r="N164" s="9" t="s">
        <v>1548</v>
      </c>
      <c r="O164" s="9" t="s">
        <v>1598</v>
      </c>
      <c r="P164" s="9" t="s">
        <v>595</v>
      </c>
      <c r="Q164" s="9" t="s">
        <v>1599</v>
      </c>
      <c r="R164" s="9" t="s">
        <v>106</v>
      </c>
      <c r="S164" s="9" t="s">
        <v>1551</v>
      </c>
    </row>
    <row r="165" customFormat="false" ht="46.25" hidden="false" customHeight="false" outlineLevel="0" collapsed="false">
      <c r="A165" s="16" t="s">
        <v>1600</v>
      </c>
      <c r="B165" s="16" t="s">
        <v>58</v>
      </c>
      <c r="C165" s="9" t="s">
        <v>690</v>
      </c>
      <c r="D165" s="9" t="s">
        <v>59</v>
      </c>
      <c r="E165" s="9" t="s">
        <v>1601</v>
      </c>
      <c r="F165" s="9" t="s">
        <v>1602</v>
      </c>
      <c r="G165" s="9" t="s">
        <v>705</v>
      </c>
      <c r="H165" s="9" t="s">
        <v>106</v>
      </c>
      <c r="I165" s="9" t="s">
        <v>1603</v>
      </c>
      <c r="J165" s="9" t="s">
        <v>106</v>
      </c>
      <c r="K165" s="9" t="s">
        <v>873</v>
      </c>
      <c r="L165" s="9" t="s">
        <v>106</v>
      </c>
      <c r="M165" s="9" t="s">
        <v>1604</v>
      </c>
      <c r="N165" s="9" t="s">
        <v>1548</v>
      </c>
      <c r="O165" s="9" t="s">
        <v>1605</v>
      </c>
      <c r="P165" s="9" t="s">
        <v>308</v>
      </c>
      <c r="Q165" s="9" t="s">
        <v>1550</v>
      </c>
      <c r="R165" s="9" t="s">
        <v>106</v>
      </c>
      <c r="S165" s="9" t="s">
        <v>1551</v>
      </c>
    </row>
    <row r="166" customFormat="false" ht="46.25" hidden="false" customHeight="false" outlineLevel="0" collapsed="false">
      <c r="A166" s="15" t="s">
        <v>1606</v>
      </c>
      <c r="B166" s="16" t="s">
        <v>58</v>
      </c>
      <c r="C166" s="9" t="s">
        <v>1607</v>
      </c>
      <c r="D166" s="9" t="s">
        <v>59</v>
      </c>
      <c r="E166" s="9" t="s">
        <v>1608</v>
      </c>
      <c r="F166" s="9" t="s">
        <v>1609</v>
      </c>
      <c r="G166" s="9" t="s">
        <v>693</v>
      </c>
      <c r="H166" s="9" t="s">
        <v>395</v>
      </c>
      <c r="I166" s="9" t="s">
        <v>1610</v>
      </c>
      <c r="J166" s="9" t="s">
        <v>106</v>
      </c>
      <c r="K166" s="9" t="s">
        <v>873</v>
      </c>
      <c r="L166" s="9" t="s">
        <v>106</v>
      </c>
      <c r="M166" s="9" t="s">
        <v>305</v>
      </c>
      <c r="N166" s="9" t="s">
        <v>1548</v>
      </c>
      <c r="O166" s="9" t="s">
        <v>1575</v>
      </c>
      <c r="P166" s="9" t="s">
        <v>308</v>
      </c>
      <c r="Q166" s="9" t="s">
        <v>1576</v>
      </c>
      <c r="R166" s="9" t="s">
        <v>106</v>
      </c>
      <c r="S166" s="9" t="s">
        <v>1551</v>
      </c>
    </row>
    <row r="167" customFormat="false" ht="46.25" hidden="false" customHeight="false" outlineLevel="0" collapsed="false">
      <c r="A167" s="16" t="s">
        <v>1611</v>
      </c>
      <c r="B167" s="16" t="s">
        <v>58</v>
      </c>
      <c r="C167" s="9" t="s">
        <v>1607</v>
      </c>
      <c r="D167" s="9" t="s">
        <v>59</v>
      </c>
      <c r="E167" s="9" t="s">
        <v>1612</v>
      </c>
      <c r="F167" s="9" t="s">
        <v>1613</v>
      </c>
      <c r="G167" s="9" t="s">
        <v>693</v>
      </c>
      <c r="H167" s="9" t="s">
        <v>395</v>
      </c>
      <c r="I167" s="9" t="s">
        <v>1567</v>
      </c>
      <c r="J167" s="9" t="s">
        <v>106</v>
      </c>
      <c r="K167" s="9" t="s">
        <v>873</v>
      </c>
      <c r="L167" s="9" t="s">
        <v>106</v>
      </c>
      <c r="M167" s="9" t="s">
        <v>1568</v>
      </c>
      <c r="N167" s="9" t="s">
        <v>1548</v>
      </c>
      <c r="O167" s="9" t="s">
        <v>1569</v>
      </c>
      <c r="P167" s="9" t="s">
        <v>308</v>
      </c>
      <c r="Q167" s="9" t="s">
        <v>1550</v>
      </c>
      <c r="R167" s="9" t="s">
        <v>1570</v>
      </c>
      <c r="S167" s="9" t="s">
        <v>1551</v>
      </c>
    </row>
    <row r="168" customFormat="false" ht="46.25" hidden="false" customHeight="false" outlineLevel="0" collapsed="false">
      <c r="A168" s="16" t="s">
        <v>1614</v>
      </c>
      <c r="B168" s="16" t="s">
        <v>58</v>
      </c>
      <c r="C168" s="9" t="s">
        <v>1607</v>
      </c>
      <c r="D168" s="9" t="s">
        <v>59</v>
      </c>
      <c r="E168" s="9" t="s">
        <v>1615</v>
      </c>
      <c r="F168" s="9" t="s">
        <v>1616</v>
      </c>
      <c r="G168" s="9" t="s">
        <v>693</v>
      </c>
      <c r="H168" s="9" t="s">
        <v>395</v>
      </c>
      <c r="I168" s="9" t="s">
        <v>1581</v>
      </c>
      <c r="J168" s="9" t="s">
        <v>106</v>
      </c>
      <c r="K168" s="9" t="s">
        <v>873</v>
      </c>
      <c r="L168" s="9" t="s">
        <v>106</v>
      </c>
      <c r="M168" s="9" t="s">
        <v>1617</v>
      </c>
      <c r="N168" s="9" t="s">
        <v>1548</v>
      </c>
      <c r="O168" s="9" t="s">
        <v>1618</v>
      </c>
      <c r="P168" s="9" t="s">
        <v>904</v>
      </c>
      <c r="Q168" s="9" t="s">
        <v>1584</v>
      </c>
      <c r="R168" s="9" t="s">
        <v>106</v>
      </c>
      <c r="S168" s="9" t="s">
        <v>1551</v>
      </c>
    </row>
    <row r="169" customFormat="false" ht="46.25" hidden="false" customHeight="false" outlineLevel="0" collapsed="false">
      <c r="A169" s="16" t="s">
        <v>1619</v>
      </c>
      <c r="B169" s="16" t="s">
        <v>58</v>
      </c>
      <c r="C169" s="9" t="s">
        <v>1620</v>
      </c>
      <c r="D169" s="9" t="s">
        <v>1621</v>
      </c>
      <c r="E169" s="9" t="s">
        <v>1622</v>
      </c>
      <c r="F169" s="9" t="s">
        <v>1623</v>
      </c>
      <c r="G169" s="9" t="s">
        <v>965</v>
      </c>
      <c r="H169" s="9" t="s">
        <v>560</v>
      </c>
      <c r="I169" s="9" t="s">
        <v>1624</v>
      </c>
      <c r="J169" s="9" t="s">
        <v>106</v>
      </c>
      <c r="K169" s="9" t="s">
        <v>873</v>
      </c>
      <c r="L169" s="9" t="s">
        <v>106</v>
      </c>
      <c r="M169" s="9" t="s">
        <v>1625</v>
      </c>
      <c r="N169" s="9" t="s">
        <v>1626</v>
      </c>
      <c r="O169" s="9" t="s">
        <v>1627</v>
      </c>
      <c r="P169" s="9" t="s">
        <v>308</v>
      </c>
      <c r="Q169" s="9" t="s">
        <v>1550</v>
      </c>
      <c r="R169" s="9" t="s">
        <v>1556</v>
      </c>
      <c r="S169" s="9" t="s">
        <v>1551</v>
      </c>
    </row>
    <row r="170" customFormat="false" ht="46.25" hidden="false" customHeight="false" outlineLevel="0" collapsed="false">
      <c r="A170" s="16" t="s">
        <v>1628</v>
      </c>
      <c r="B170" s="16" t="s">
        <v>58</v>
      </c>
      <c r="C170" s="9" t="s">
        <v>1620</v>
      </c>
      <c r="D170" s="9" t="s">
        <v>1621</v>
      </c>
      <c r="E170" s="9" t="s">
        <v>1629</v>
      </c>
      <c r="F170" s="9" t="s">
        <v>1630</v>
      </c>
      <c r="G170" s="9" t="s">
        <v>559</v>
      </c>
      <c r="H170" s="9" t="s">
        <v>560</v>
      </c>
      <c r="I170" s="9" t="s">
        <v>1631</v>
      </c>
      <c r="J170" s="9" t="s">
        <v>106</v>
      </c>
      <c r="K170" s="9" t="s">
        <v>873</v>
      </c>
      <c r="L170" s="9" t="s">
        <v>106</v>
      </c>
      <c r="M170" s="9" t="s">
        <v>1632</v>
      </c>
      <c r="N170" s="9" t="s">
        <v>1626</v>
      </c>
      <c r="O170" s="9" t="s">
        <v>1633</v>
      </c>
      <c r="P170" s="9" t="s">
        <v>1634</v>
      </c>
      <c r="Q170" s="9" t="s">
        <v>1550</v>
      </c>
      <c r="R170" s="9" t="s">
        <v>106</v>
      </c>
      <c r="S170" s="9" t="s">
        <v>1551</v>
      </c>
    </row>
    <row r="171" customFormat="false" ht="46.25" hidden="false" customHeight="false" outlineLevel="0" collapsed="false">
      <c r="A171" s="16" t="s">
        <v>1635</v>
      </c>
      <c r="B171" s="16" t="s">
        <v>58</v>
      </c>
      <c r="C171" s="9" t="s">
        <v>1620</v>
      </c>
      <c r="D171" s="9" t="s">
        <v>1621</v>
      </c>
      <c r="E171" s="9" t="s">
        <v>1636</v>
      </c>
      <c r="F171" s="9" t="s">
        <v>1637</v>
      </c>
      <c r="G171" s="9" t="s">
        <v>1638</v>
      </c>
      <c r="H171" s="9" t="s">
        <v>106</v>
      </c>
      <c r="I171" s="9" t="s">
        <v>1639</v>
      </c>
      <c r="J171" s="9" t="s">
        <v>106</v>
      </c>
      <c r="K171" s="9" t="s">
        <v>873</v>
      </c>
      <c r="L171" s="9" t="s">
        <v>106</v>
      </c>
      <c r="M171" s="9" t="s">
        <v>1640</v>
      </c>
      <c r="N171" s="9" t="s">
        <v>1626</v>
      </c>
      <c r="O171" s="9" t="s">
        <v>1641</v>
      </c>
      <c r="P171" s="9" t="s">
        <v>1642</v>
      </c>
      <c r="Q171" s="9" t="s">
        <v>1550</v>
      </c>
      <c r="R171" s="9" t="s">
        <v>106</v>
      </c>
      <c r="S171" s="9" t="s">
        <v>1551</v>
      </c>
    </row>
    <row r="172" customFormat="false" ht="46.25" hidden="false" customHeight="false" outlineLevel="0" collapsed="false">
      <c r="A172" s="16" t="s">
        <v>1643</v>
      </c>
      <c r="B172" s="16" t="s">
        <v>58</v>
      </c>
      <c r="C172" s="9" t="s">
        <v>1620</v>
      </c>
      <c r="D172" s="9" t="s">
        <v>1621</v>
      </c>
      <c r="E172" s="9" t="s">
        <v>1644</v>
      </c>
      <c r="F172" s="9" t="s">
        <v>1645</v>
      </c>
      <c r="G172" s="9" t="s">
        <v>655</v>
      </c>
      <c r="H172" s="9" t="s">
        <v>560</v>
      </c>
      <c r="I172" s="9" t="s">
        <v>1646</v>
      </c>
      <c r="J172" s="9" t="s">
        <v>106</v>
      </c>
      <c r="K172" s="9" t="s">
        <v>873</v>
      </c>
      <c r="L172" s="9" t="s">
        <v>106</v>
      </c>
      <c r="M172" s="9" t="s">
        <v>818</v>
      </c>
      <c r="N172" s="9" t="s">
        <v>1626</v>
      </c>
      <c r="O172" s="9" t="s">
        <v>1647</v>
      </c>
      <c r="P172" s="9" t="s">
        <v>308</v>
      </c>
      <c r="Q172" s="9" t="s">
        <v>1648</v>
      </c>
      <c r="R172" s="9" t="s">
        <v>1649</v>
      </c>
      <c r="S172" s="9" t="s">
        <v>1551</v>
      </c>
    </row>
    <row r="173" customFormat="false" ht="46.25" hidden="false" customHeight="false" outlineLevel="0" collapsed="false">
      <c r="A173" s="16" t="s">
        <v>1650</v>
      </c>
      <c r="B173" s="16" t="s">
        <v>58</v>
      </c>
      <c r="C173" s="9" t="s">
        <v>1620</v>
      </c>
      <c r="D173" s="9" t="s">
        <v>1621</v>
      </c>
      <c r="E173" s="9" t="s">
        <v>1651</v>
      </c>
      <c r="F173" s="9" t="s">
        <v>1652</v>
      </c>
      <c r="G173" s="9" t="s">
        <v>1043</v>
      </c>
      <c r="H173" s="9" t="s">
        <v>560</v>
      </c>
      <c r="I173" s="9" t="s">
        <v>1653</v>
      </c>
      <c r="J173" s="9" t="s">
        <v>106</v>
      </c>
      <c r="K173" s="9" t="s">
        <v>873</v>
      </c>
      <c r="L173" s="9" t="s">
        <v>106</v>
      </c>
      <c r="M173" s="9" t="s">
        <v>1654</v>
      </c>
      <c r="N173" s="9" t="s">
        <v>1626</v>
      </c>
      <c r="O173" s="9" t="s">
        <v>1655</v>
      </c>
      <c r="P173" s="9" t="s">
        <v>904</v>
      </c>
      <c r="Q173" s="9" t="s">
        <v>1656</v>
      </c>
      <c r="R173" s="9" t="s">
        <v>1657</v>
      </c>
      <c r="S173" s="9" t="s">
        <v>1551</v>
      </c>
    </row>
    <row r="174" customFormat="false" ht="46.25" hidden="false" customHeight="false" outlineLevel="0" collapsed="false">
      <c r="A174" s="15" t="s">
        <v>1658</v>
      </c>
      <c r="B174" s="16" t="s">
        <v>58</v>
      </c>
      <c r="C174" s="9" t="s">
        <v>1659</v>
      </c>
      <c r="D174" s="9" t="s">
        <v>1660</v>
      </c>
      <c r="E174" s="9" t="s">
        <v>1572</v>
      </c>
      <c r="F174" s="9" t="s">
        <v>1661</v>
      </c>
      <c r="G174" s="9" t="s">
        <v>655</v>
      </c>
      <c r="H174" s="9" t="s">
        <v>560</v>
      </c>
      <c r="I174" s="9" t="s">
        <v>1662</v>
      </c>
      <c r="J174" s="9" t="s">
        <v>106</v>
      </c>
      <c r="K174" s="9" t="s">
        <v>873</v>
      </c>
      <c r="L174" s="9" t="s">
        <v>106</v>
      </c>
      <c r="M174" s="9" t="s">
        <v>305</v>
      </c>
      <c r="N174" s="9" t="s">
        <v>1626</v>
      </c>
      <c r="O174" s="9" t="s">
        <v>1663</v>
      </c>
      <c r="P174" s="9" t="s">
        <v>308</v>
      </c>
      <c r="Q174" s="9" t="s">
        <v>1576</v>
      </c>
      <c r="R174" s="9" t="s">
        <v>1577</v>
      </c>
      <c r="S174" s="9" t="s">
        <v>1551</v>
      </c>
    </row>
    <row r="175" customFormat="false" ht="46.25" hidden="false" customHeight="false" outlineLevel="0" collapsed="false">
      <c r="A175" s="16" t="s">
        <v>1664</v>
      </c>
      <c r="B175" s="16" t="s">
        <v>58</v>
      </c>
      <c r="C175" s="9" t="s">
        <v>1659</v>
      </c>
      <c r="D175" s="9" t="s">
        <v>1660</v>
      </c>
      <c r="E175" s="9" t="s">
        <v>1665</v>
      </c>
      <c r="F175" s="9" t="s">
        <v>1666</v>
      </c>
      <c r="G175" s="9" t="s">
        <v>394</v>
      </c>
      <c r="H175" s="9" t="s">
        <v>106</v>
      </c>
      <c r="I175" s="9" t="s">
        <v>1667</v>
      </c>
      <c r="J175" s="9" t="s">
        <v>106</v>
      </c>
      <c r="K175" s="9" t="s">
        <v>873</v>
      </c>
      <c r="L175" s="9" t="s">
        <v>106</v>
      </c>
      <c r="M175" s="9" t="s">
        <v>1668</v>
      </c>
      <c r="N175" s="9" t="s">
        <v>1626</v>
      </c>
      <c r="O175" s="9" t="s">
        <v>1669</v>
      </c>
      <c r="P175" s="9" t="s">
        <v>904</v>
      </c>
      <c r="Q175" s="9" t="s">
        <v>1584</v>
      </c>
      <c r="R175" s="9" t="s">
        <v>1670</v>
      </c>
      <c r="S175" s="9" t="s">
        <v>1551</v>
      </c>
    </row>
    <row r="176" customFormat="false" ht="46.25" hidden="false" customHeight="false" outlineLevel="0" collapsed="false">
      <c r="A176" s="16" t="s">
        <v>1671</v>
      </c>
      <c r="B176" s="16" t="s">
        <v>58</v>
      </c>
      <c r="C176" s="9" t="s">
        <v>1659</v>
      </c>
      <c r="D176" s="9" t="s">
        <v>1660</v>
      </c>
      <c r="E176" s="9" t="s">
        <v>1672</v>
      </c>
      <c r="F176" s="9" t="s">
        <v>1673</v>
      </c>
      <c r="G176" s="9" t="s">
        <v>394</v>
      </c>
      <c r="H176" s="9" t="s">
        <v>106</v>
      </c>
      <c r="I176" s="9" t="s">
        <v>1674</v>
      </c>
      <c r="J176" s="9" t="s">
        <v>106</v>
      </c>
      <c r="K176" s="9" t="s">
        <v>873</v>
      </c>
      <c r="L176" s="9" t="s">
        <v>106</v>
      </c>
      <c r="M176" s="9" t="s">
        <v>1675</v>
      </c>
      <c r="N176" s="9" t="s">
        <v>1626</v>
      </c>
      <c r="O176" s="9" t="s">
        <v>1618</v>
      </c>
      <c r="P176" s="9" t="s">
        <v>904</v>
      </c>
      <c r="Q176" s="9" t="s">
        <v>1584</v>
      </c>
      <c r="R176" s="9" t="s">
        <v>106</v>
      </c>
      <c r="S176" s="9" t="s">
        <v>1551</v>
      </c>
    </row>
    <row r="177" customFormat="false" ht="46.25" hidden="false" customHeight="false" outlineLevel="0" collapsed="false">
      <c r="A177" s="16" t="s">
        <v>1676</v>
      </c>
      <c r="B177" s="16" t="s">
        <v>58</v>
      </c>
      <c r="C177" s="9" t="s">
        <v>1659</v>
      </c>
      <c r="D177" s="9" t="s">
        <v>1660</v>
      </c>
      <c r="E177" s="9" t="s">
        <v>1579</v>
      </c>
      <c r="F177" s="9" t="s">
        <v>1677</v>
      </c>
      <c r="G177" s="9" t="s">
        <v>394</v>
      </c>
      <c r="H177" s="9" t="s">
        <v>106</v>
      </c>
      <c r="I177" s="9" t="s">
        <v>1678</v>
      </c>
      <c r="J177" s="9" t="s">
        <v>106</v>
      </c>
      <c r="K177" s="9" t="s">
        <v>873</v>
      </c>
      <c r="L177" s="9" t="s">
        <v>106</v>
      </c>
      <c r="M177" s="9" t="s">
        <v>1582</v>
      </c>
      <c r="N177" s="9" t="s">
        <v>1626</v>
      </c>
      <c r="O177" s="9" t="s">
        <v>1618</v>
      </c>
      <c r="P177" s="9" t="s">
        <v>904</v>
      </c>
      <c r="Q177" s="9" t="s">
        <v>1584</v>
      </c>
      <c r="R177" s="9" t="s">
        <v>106</v>
      </c>
      <c r="S177" s="9" t="s">
        <v>1551</v>
      </c>
    </row>
    <row r="178" customFormat="false" ht="46.25" hidden="false" customHeight="false" outlineLevel="0" collapsed="false">
      <c r="A178" s="16" t="s">
        <v>1679</v>
      </c>
      <c r="B178" s="16" t="s">
        <v>58</v>
      </c>
      <c r="C178" s="9" t="s">
        <v>1659</v>
      </c>
      <c r="D178" s="9" t="s">
        <v>1660</v>
      </c>
      <c r="E178" s="9" t="s">
        <v>1586</v>
      </c>
      <c r="F178" s="9" t="s">
        <v>1680</v>
      </c>
      <c r="G178" s="9" t="s">
        <v>655</v>
      </c>
      <c r="H178" s="9" t="s">
        <v>106</v>
      </c>
      <c r="I178" s="9" t="s">
        <v>1681</v>
      </c>
      <c r="J178" s="9" t="s">
        <v>106</v>
      </c>
      <c r="K178" s="9" t="s">
        <v>873</v>
      </c>
      <c r="L178" s="9" t="s">
        <v>106</v>
      </c>
      <c r="M178" s="9" t="s">
        <v>1589</v>
      </c>
      <c r="N178" s="9" t="s">
        <v>1626</v>
      </c>
      <c r="O178" s="9" t="s">
        <v>1618</v>
      </c>
      <c r="P178" s="9" t="s">
        <v>904</v>
      </c>
      <c r="Q178" s="9" t="s">
        <v>1682</v>
      </c>
      <c r="R178" s="9" t="s">
        <v>106</v>
      </c>
      <c r="S178" s="9" t="s">
        <v>1551</v>
      </c>
    </row>
    <row r="179" customFormat="false" ht="46.25" hidden="false" customHeight="false" outlineLevel="0" collapsed="false">
      <c r="A179" s="16" t="s">
        <v>1683</v>
      </c>
      <c r="B179" s="16" t="s">
        <v>58</v>
      </c>
      <c r="C179" s="9" t="s">
        <v>1684</v>
      </c>
      <c r="D179" s="9" t="s">
        <v>1685</v>
      </c>
      <c r="E179" s="9" t="s">
        <v>1686</v>
      </c>
      <c r="F179" s="9" t="s">
        <v>1687</v>
      </c>
      <c r="G179" s="9" t="s">
        <v>559</v>
      </c>
      <c r="H179" s="9" t="s">
        <v>560</v>
      </c>
      <c r="I179" s="9" t="s">
        <v>1688</v>
      </c>
      <c r="J179" s="9" t="s">
        <v>1689</v>
      </c>
      <c r="K179" s="9" t="s">
        <v>873</v>
      </c>
      <c r="L179" s="9" t="s">
        <v>1690</v>
      </c>
      <c r="M179" s="9" t="s">
        <v>1691</v>
      </c>
      <c r="N179" s="9" t="s">
        <v>1626</v>
      </c>
      <c r="O179" s="9" t="s">
        <v>1692</v>
      </c>
      <c r="P179" s="9" t="s">
        <v>1634</v>
      </c>
      <c r="Q179" s="9" t="s">
        <v>1343</v>
      </c>
      <c r="R179" s="9" t="s">
        <v>1693</v>
      </c>
      <c r="S179" s="9" t="s">
        <v>1551</v>
      </c>
    </row>
    <row r="180" customFormat="false" ht="46.25" hidden="false" customHeight="false" outlineLevel="0" collapsed="false">
      <c r="A180" s="16" t="s">
        <v>1694</v>
      </c>
      <c r="B180" s="16" t="s">
        <v>58</v>
      </c>
      <c r="C180" s="9" t="s">
        <v>1684</v>
      </c>
      <c r="D180" s="9" t="s">
        <v>1685</v>
      </c>
      <c r="E180" s="9" t="s">
        <v>1695</v>
      </c>
      <c r="F180" s="9" t="s">
        <v>1696</v>
      </c>
      <c r="G180" s="9" t="s">
        <v>1638</v>
      </c>
      <c r="H180" s="9" t="s">
        <v>1697</v>
      </c>
      <c r="I180" s="9" t="s">
        <v>1698</v>
      </c>
      <c r="J180" s="9" t="s">
        <v>1699</v>
      </c>
      <c r="K180" s="9" t="s">
        <v>873</v>
      </c>
      <c r="L180" s="9" t="s">
        <v>1700</v>
      </c>
      <c r="M180" s="9" t="s">
        <v>1701</v>
      </c>
      <c r="N180" s="9" t="s">
        <v>1626</v>
      </c>
      <c r="O180" s="9" t="s">
        <v>1702</v>
      </c>
      <c r="P180" s="9" t="s">
        <v>1634</v>
      </c>
      <c r="Q180" s="9" t="s">
        <v>1343</v>
      </c>
      <c r="R180" s="9" t="s">
        <v>106</v>
      </c>
      <c r="S180" s="9" t="s">
        <v>1551</v>
      </c>
    </row>
    <row r="181" customFormat="false" ht="46.25" hidden="false" customHeight="false" outlineLevel="0" collapsed="false">
      <c r="A181" s="16" t="s">
        <v>1703</v>
      </c>
      <c r="B181" s="16" t="s">
        <v>58</v>
      </c>
      <c r="C181" s="9" t="s">
        <v>1684</v>
      </c>
      <c r="D181" s="9" t="s">
        <v>1685</v>
      </c>
      <c r="E181" s="9" t="s">
        <v>1704</v>
      </c>
      <c r="F181" s="9" t="s">
        <v>1705</v>
      </c>
      <c r="G181" s="9" t="s">
        <v>394</v>
      </c>
      <c r="H181" s="9" t="s">
        <v>106</v>
      </c>
      <c r="I181" s="9" t="s">
        <v>1706</v>
      </c>
      <c r="J181" s="9" t="s">
        <v>106</v>
      </c>
      <c r="K181" s="9" t="s">
        <v>873</v>
      </c>
      <c r="L181" s="9" t="s">
        <v>106</v>
      </c>
      <c r="M181" s="9" t="s">
        <v>1707</v>
      </c>
      <c r="N181" s="9" t="s">
        <v>1626</v>
      </c>
      <c r="O181" s="9" t="s">
        <v>1708</v>
      </c>
      <c r="P181" s="9" t="s">
        <v>401</v>
      </c>
      <c r="Q181" s="9" t="s">
        <v>1343</v>
      </c>
      <c r="R181" s="9" t="s">
        <v>106</v>
      </c>
      <c r="S181" s="9" t="s">
        <v>1551</v>
      </c>
    </row>
    <row r="182" customFormat="false" ht="57.45" hidden="false" customHeight="false" outlineLevel="0" collapsed="false">
      <c r="A182" s="16" t="s">
        <v>1709</v>
      </c>
      <c r="B182" s="16" t="s">
        <v>58</v>
      </c>
      <c r="C182" s="9" t="s">
        <v>1684</v>
      </c>
      <c r="D182" s="9" t="s">
        <v>1685</v>
      </c>
      <c r="E182" s="9" t="s">
        <v>1710</v>
      </c>
      <c r="F182" s="9" t="s">
        <v>1711</v>
      </c>
      <c r="G182" s="9" t="s">
        <v>581</v>
      </c>
      <c r="H182" s="9" t="s">
        <v>560</v>
      </c>
      <c r="I182" s="9" t="s">
        <v>1712</v>
      </c>
      <c r="J182" s="9" t="s">
        <v>1713</v>
      </c>
      <c r="K182" s="9" t="s">
        <v>873</v>
      </c>
      <c r="L182" s="9" t="s">
        <v>106</v>
      </c>
      <c r="M182" s="9" t="s">
        <v>1714</v>
      </c>
      <c r="N182" s="9" t="s">
        <v>1626</v>
      </c>
      <c r="O182" s="9" t="s">
        <v>1715</v>
      </c>
      <c r="P182" s="9" t="s">
        <v>1716</v>
      </c>
      <c r="Q182" s="9" t="s">
        <v>1343</v>
      </c>
      <c r="R182" s="9" t="s">
        <v>1344</v>
      </c>
      <c r="S182" s="9" t="s">
        <v>1551</v>
      </c>
    </row>
    <row r="183" customFormat="false" ht="46.25" hidden="false" customHeight="false" outlineLevel="0" collapsed="false">
      <c r="A183" s="15" t="s">
        <v>1717</v>
      </c>
      <c r="B183" s="16" t="s">
        <v>58</v>
      </c>
      <c r="C183" s="9" t="s">
        <v>1718</v>
      </c>
      <c r="D183" s="9" t="s">
        <v>1719</v>
      </c>
      <c r="E183" s="9" t="s">
        <v>1720</v>
      </c>
      <c r="F183" s="9" t="s">
        <v>1721</v>
      </c>
      <c r="G183" s="9" t="s">
        <v>27</v>
      </c>
      <c r="H183" s="9" t="s">
        <v>560</v>
      </c>
      <c r="I183" s="9" t="s">
        <v>1722</v>
      </c>
      <c r="J183" s="9" t="s">
        <v>106</v>
      </c>
      <c r="K183" s="9" t="s">
        <v>873</v>
      </c>
      <c r="L183" s="9" t="s">
        <v>1723</v>
      </c>
      <c r="M183" s="9" t="s">
        <v>1561</v>
      </c>
      <c r="N183" s="9" t="s">
        <v>1724</v>
      </c>
      <c r="O183" s="9" t="s">
        <v>1725</v>
      </c>
      <c r="P183" s="9" t="s">
        <v>308</v>
      </c>
      <c r="Q183" s="9" t="s">
        <v>1726</v>
      </c>
      <c r="R183" s="9" t="s">
        <v>106</v>
      </c>
      <c r="S183" s="9" t="s">
        <v>1727</v>
      </c>
    </row>
    <row r="184" customFormat="false" ht="46.25" hidden="false" customHeight="false" outlineLevel="0" collapsed="false">
      <c r="A184" s="16" t="s">
        <v>1728</v>
      </c>
      <c r="B184" s="16" t="s">
        <v>58</v>
      </c>
      <c r="C184" s="9" t="s">
        <v>1718</v>
      </c>
      <c r="D184" s="9" t="s">
        <v>1719</v>
      </c>
      <c r="E184" s="9" t="s">
        <v>1729</v>
      </c>
      <c r="F184" s="9" t="s">
        <v>1730</v>
      </c>
      <c r="G184" s="9" t="s">
        <v>965</v>
      </c>
      <c r="H184" s="9" t="s">
        <v>560</v>
      </c>
      <c r="I184" s="9" t="s">
        <v>1731</v>
      </c>
      <c r="J184" s="9" t="s">
        <v>106</v>
      </c>
      <c r="K184" s="9" t="s">
        <v>873</v>
      </c>
      <c r="L184" s="9" t="s">
        <v>1732</v>
      </c>
      <c r="M184" s="9" t="s">
        <v>1554</v>
      </c>
      <c r="N184" s="9" t="s">
        <v>1724</v>
      </c>
      <c r="O184" s="9" t="s">
        <v>1733</v>
      </c>
      <c r="P184" s="9" t="s">
        <v>308</v>
      </c>
      <c r="Q184" s="9" t="s">
        <v>1726</v>
      </c>
      <c r="R184" s="9" t="s">
        <v>106</v>
      </c>
      <c r="S184" s="9" t="s">
        <v>1727</v>
      </c>
    </row>
    <row r="185" customFormat="false" ht="46.25" hidden="false" customHeight="false" outlineLevel="0" collapsed="false">
      <c r="A185" s="16" t="s">
        <v>1734</v>
      </c>
      <c r="B185" s="16" t="s">
        <v>58</v>
      </c>
      <c r="C185" s="9" t="s">
        <v>1718</v>
      </c>
      <c r="D185" s="9" t="s">
        <v>1719</v>
      </c>
      <c r="E185" s="9" t="s">
        <v>1735</v>
      </c>
      <c r="F185" s="9" t="s">
        <v>1736</v>
      </c>
      <c r="G185" s="9" t="s">
        <v>394</v>
      </c>
      <c r="H185" s="9" t="s">
        <v>106</v>
      </c>
      <c r="I185" s="9" t="s">
        <v>1737</v>
      </c>
      <c r="J185" s="9" t="s">
        <v>106</v>
      </c>
      <c r="K185" s="9" t="s">
        <v>873</v>
      </c>
      <c r="L185" s="9" t="s">
        <v>1738</v>
      </c>
      <c r="M185" s="9" t="s">
        <v>1739</v>
      </c>
      <c r="N185" s="9" t="s">
        <v>1724</v>
      </c>
      <c r="O185" s="9" t="s">
        <v>1740</v>
      </c>
      <c r="P185" s="9" t="s">
        <v>401</v>
      </c>
      <c r="Q185" s="9" t="s">
        <v>1726</v>
      </c>
      <c r="R185" s="9" t="s">
        <v>106</v>
      </c>
      <c r="S185" s="9" t="s">
        <v>1727</v>
      </c>
    </row>
    <row r="186" customFormat="false" ht="46.25" hidden="false" customHeight="false" outlineLevel="0" collapsed="false">
      <c r="A186" s="16" t="s">
        <v>1741</v>
      </c>
      <c r="B186" s="16" t="s">
        <v>58</v>
      </c>
      <c r="C186" s="9" t="s">
        <v>1718</v>
      </c>
      <c r="D186" s="9" t="s">
        <v>1719</v>
      </c>
      <c r="E186" s="9" t="s">
        <v>1742</v>
      </c>
      <c r="F186" s="9" t="s">
        <v>1743</v>
      </c>
      <c r="G186" s="9" t="s">
        <v>27</v>
      </c>
      <c r="H186" s="9" t="s">
        <v>560</v>
      </c>
      <c r="I186" s="9" t="s">
        <v>1744</v>
      </c>
      <c r="J186" s="9" t="s">
        <v>106</v>
      </c>
      <c r="K186" s="9" t="s">
        <v>873</v>
      </c>
      <c r="L186" s="9" t="s">
        <v>1745</v>
      </c>
      <c r="M186" s="9" t="s">
        <v>1561</v>
      </c>
      <c r="N186" s="9" t="s">
        <v>1746</v>
      </c>
      <c r="O186" s="9" t="s">
        <v>1747</v>
      </c>
      <c r="P186" s="9" t="s">
        <v>308</v>
      </c>
      <c r="Q186" s="9" t="s">
        <v>1726</v>
      </c>
      <c r="R186" s="9" t="s">
        <v>106</v>
      </c>
      <c r="S186" s="9" t="s">
        <v>1727</v>
      </c>
    </row>
    <row r="187" customFormat="false" ht="46.25" hidden="false" customHeight="false" outlineLevel="0" collapsed="false">
      <c r="A187" s="16" t="s">
        <v>1748</v>
      </c>
      <c r="B187" s="16" t="s">
        <v>58</v>
      </c>
      <c r="C187" s="9" t="s">
        <v>1718</v>
      </c>
      <c r="D187" s="9" t="s">
        <v>1719</v>
      </c>
      <c r="E187" s="9" t="s">
        <v>1749</v>
      </c>
      <c r="F187" s="9" t="s">
        <v>1750</v>
      </c>
      <c r="G187" s="9" t="s">
        <v>965</v>
      </c>
      <c r="H187" s="9" t="s">
        <v>560</v>
      </c>
      <c r="I187" s="9" t="s">
        <v>1731</v>
      </c>
      <c r="J187" s="9" t="s">
        <v>106</v>
      </c>
      <c r="K187" s="9" t="s">
        <v>873</v>
      </c>
      <c r="L187" s="9" t="s">
        <v>1732</v>
      </c>
      <c r="M187" s="9" t="s">
        <v>1554</v>
      </c>
      <c r="N187" s="9" t="s">
        <v>1746</v>
      </c>
      <c r="O187" s="9" t="s">
        <v>1751</v>
      </c>
      <c r="P187" s="9" t="s">
        <v>308</v>
      </c>
      <c r="Q187" s="9" t="s">
        <v>1726</v>
      </c>
      <c r="R187" s="9" t="s">
        <v>106</v>
      </c>
      <c r="S187" s="9" t="s">
        <v>1727</v>
      </c>
    </row>
    <row r="188" customFormat="false" ht="46.25" hidden="false" customHeight="false" outlineLevel="0" collapsed="false">
      <c r="A188" s="16" t="s">
        <v>1752</v>
      </c>
      <c r="B188" s="16" t="s">
        <v>58</v>
      </c>
      <c r="C188" s="9" t="s">
        <v>1718</v>
      </c>
      <c r="D188" s="9" t="s">
        <v>1719</v>
      </c>
      <c r="E188" s="9" t="s">
        <v>1753</v>
      </c>
      <c r="F188" s="9" t="s">
        <v>1754</v>
      </c>
      <c r="G188" s="9" t="s">
        <v>394</v>
      </c>
      <c r="H188" s="9" t="s">
        <v>106</v>
      </c>
      <c r="I188" s="9" t="s">
        <v>1755</v>
      </c>
      <c r="J188" s="9" t="s">
        <v>106</v>
      </c>
      <c r="K188" s="9" t="s">
        <v>873</v>
      </c>
      <c r="L188" s="9" t="s">
        <v>1087</v>
      </c>
      <c r="M188" s="9" t="s">
        <v>1739</v>
      </c>
      <c r="N188" s="9" t="s">
        <v>1746</v>
      </c>
      <c r="O188" s="9" t="s">
        <v>1756</v>
      </c>
      <c r="P188" s="9" t="s">
        <v>401</v>
      </c>
      <c r="Q188" s="9" t="s">
        <v>1726</v>
      </c>
      <c r="R188" s="9" t="s">
        <v>1757</v>
      </c>
      <c r="S188" s="9" t="s">
        <v>1727</v>
      </c>
    </row>
    <row r="189" customFormat="false" ht="57.45" hidden="false" customHeight="false" outlineLevel="0" collapsed="false">
      <c r="A189" s="15" t="s">
        <v>1758</v>
      </c>
      <c r="B189" s="16" t="s">
        <v>58</v>
      </c>
      <c r="C189" s="9" t="s">
        <v>1759</v>
      </c>
      <c r="D189" s="9" t="s">
        <v>106</v>
      </c>
      <c r="E189" s="9" t="s">
        <v>1760</v>
      </c>
      <c r="F189" s="9" t="s">
        <v>1761</v>
      </c>
      <c r="G189" s="9" t="s">
        <v>1638</v>
      </c>
      <c r="H189" s="9" t="s">
        <v>106</v>
      </c>
      <c r="I189" s="9" t="s">
        <v>1762</v>
      </c>
      <c r="J189" s="9" t="s">
        <v>1763</v>
      </c>
      <c r="K189" s="9" t="s">
        <v>873</v>
      </c>
      <c r="L189" s="9" t="s">
        <v>106</v>
      </c>
      <c r="M189" s="9" t="s">
        <v>902</v>
      </c>
      <c r="N189" s="9" t="s">
        <v>1764</v>
      </c>
      <c r="O189" s="9" t="s">
        <v>1765</v>
      </c>
      <c r="P189" s="9" t="s">
        <v>1766</v>
      </c>
      <c r="Q189" s="9" t="s">
        <v>1767</v>
      </c>
      <c r="R189" s="9" t="s">
        <v>1768</v>
      </c>
      <c r="S189" s="9" t="s">
        <v>1769</v>
      </c>
    </row>
    <row r="190" customFormat="false" ht="35.05" hidden="false" customHeight="false" outlineLevel="0" collapsed="false">
      <c r="A190" s="15" t="s">
        <v>1770</v>
      </c>
      <c r="B190" s="16" t="s">
        <v>67</v>
      </c>
      <c r="C190" s="9" t="s">
        <v>690</v>
      </c>
      <c r="D190" s="9" t="s">
        <v>68</v>
      </c>
      <c r="E190" s="9" t="s">
        <v>871</v>
      </c>
      <c r="F190" s="9" t="s">
        <v>1771</v>
      </c>
      <c r="G190" s="9" t="s">
        <v>871</v>
      </c>
      <c r="H190" s="9" t="s">
        <v>395</v>
      </c>
      <c r="I190" s="9" t="s">
        <v>1772</v>
      </c>
      <c r="J190" s="9" t="s">
        <v>106</v>
      </c>
      <c r="K190" s="9" t="s">
        <v>1773</v>
      </c>
      <c r="L190" s="9" t="s">
        <v>106</v>
      </c>
      <c r="M190" s="9" t="s">
        <v>874</v>
      </c>
      <c r="N190" s="9" t="s">
        <v>1774</v>
      </c>
      <c r="O190" s="9" t="s">
        <v>1775</v>
      </c>
      <c r="P190" s="9" t="s">
        <v>308</v>
      </c>
      <c r="Q190" s="9" t="s">
        <v>1776</v>
      </c>
      <c r="R190" s="9" t="s">
        <v>106</v>
      </c>
      <c r="S190" s="9" t="s">
        <v>1777</v>
      </c>
    </row>
    <row r="191" customFormat="false" ht="35.05" hidden="false" customHeight="false" outlineLevel="0" collapsed="false">
      <c r="A191" s="16" t="s">
        <v>1778</v>
      </c>
      <c r="B191" s="16" t="s">
        <v>67</v>
      </c>
      <c r="C191" s="9" t="s">
        <v>690</v>
      </c>
      <c r="D191" s="9" t="s">
        <v>68</v>
      </c>
      <c r="E191" s="9" t="s">
        <v>1779</v>
      </c>
      <c r="F191" s="9" t="s">
        <v>1780</v>
      </c>
      <c r="G191" s="9" t="s">
        <v>693</v>
      </c>
      <c r="H191" s="9" t="s">
        <v>395</v>
      </c>
      <c r="I191" s="9" t="s">
        <v>1781</v>
      </c>
      <c r="J191" s="9" t="s">
        <v>106</v>
      </c>
      <c r="K191" s="9" t="s">
        <v>1773</v>
      </c>
      <c r="L191" s="9" t="s">
        <v>106</v>
      </c>
      <c r="M191" s="9" t="s">
        <v>1782</v>
      </c>
      <c r="N191" s="9" t="s">
        <v>1774</v>
      </c>
      <c r="O191" s="9" t="s">
        <v>1783</v>
      </c>
      <c r="P191" s="9" t="s">
        <v>308</v>
      </c>
      <c r="Q191" s="9" t="s">
        <v>1776</v>
      </c>
      <c r="R191" s="9" t="s">
        <v>106</v>
      </c>
      <c r="S191" s="9" t="s">
        <v>1777</v>
      </c>
    </row>
    <row r="192" customFormat="false" ht="35.05" hidden="false" customHeight="false" outlineLevel="0" collapsed="false">
      <c r="A192" s="16" t="s">
        <v>1784</v>
      </c>
      <c r="B192" s="16" t="s">
        <v>67</v>
      </c>
      <c r="C192" s="9" t="s">
        <v>690</v>
      </c>
      <c r="D192" s="9" t="s">
        <v>68</v>
      </c>
      <c r="E192" s="9" t="s">
        <v>888</v>
      </c>
      <c r="F192" s="9" t="s">
        <v>1785</v>
      </c>
      <c r="G192" s="9" t="s">
        <v>705</v>
      </c>
      <c r="H192" s="9" t="s">
        <v>106</v>
      </c>
      <c r="I192" s="9" t="s">
        <v>1786</v>
      </c>
      <c r="J192" s="9" t="s">
        <v>106</v>
      </c>
      <c r="K192" s="9" t="s">
        <v>1773</v>
      </c>
      <c r="L192" s="9" t="s">
        <v>106</v>
      </c>
      <c r="M192" s="9" t="s">
        <v>1479</v>
      </c>
      <c r="N192" s="9" t="s">
        <v>1774</v>
      </c>
      <c r="O192" s="9" t="s">
        <v>1775</v>
      </c>
      <c r="P192" s="9" t="s">
        <v>308</v>
      </c>
      <c r="Q192" s="9" t="s">
        <v>1776</v>
      </c>
      <c r="R192" s="9" t="s">
        <v>1787</v>
      </c>
      <c r="S192" s="9" t="s">
        <v>1777</v>
      </c>
    </row>
    <row r="193" customFormat="false" ht="35.05" hidden="false" customHeight="false" outlineLevel="0" collapsed="false">
      <c r="A193" s="16" t="s">
        <v>1788</v>
      </c>
      <c r="B193" s="16" t="s">
        <v>67</v>
      </c>
      <c r="C193" s="9" t="s">
        <v>690</v>
      </c>
      <c r="D193" s="9" t="s">
        <v>68</v>
      </c>
      <c r="E193" s="9" t="s">
        <v>1789</v>
      </c>
      <c r="F193" s="9" t="s">
        <v>1790</v>
      </c>
      <c r="G193" s="9" t="s">
        <v>705</v>
      </c>
      <c r="H193" s="9" t="s">
        <v>106</v>
      </c>
      <c r="I193" s="9" t="s">
        <v>1791</v>
      </c>
      <c r="J193" s="9" t="s">
        <v>106</v>
      </c>
      <c r="K193" s="9" t="s">
        <v>1773</v>
      </c>
      <c r="L193" s="9" t="s">
        <v>106</v>
      </c>
      <c r="M193" s="9" t="s">
        <v>1782</v>
      </c>
      <c r="N193" s="9" t="s">
        <v>1774</v>
      </c>
      <c r="O193" s="9" t="s">
        <v>1783</v>
      </c>
      <c r="P193" s="9" t="s">
        <v>308</v>
      </c>
      <c r="Q193" s="9" t="s">
        <v>1776</v>
      </c>
      <c r="R193" s="9" t="s">
        <v>1792</v>
      </c>
      <c r="S193" s="9" t="s">
        <v>1777</v>
      </c>
    </row>
    <row r="194" customFormat="false" ht="35.05" hidden="false" customHeight="false" outlineLevel="0" collapsed="false">
      <c r="A194" s="16" t="s">
        <v>1793</v>
      </c>
      <c r="B194" s="16" t="s">
        <v>67</v>
      </c>
      <c r="C194" s="9" t="s">
        <v>690</v>
      </c>
      <c r="D194" s="9" t="s">
        <v>68</v>
      </c>
      <c r="E194" s="9" t="s">
        <v>1794</v>
      </c>
      <c r="F194" s="9" t="s">
        <v>1795</v>
      </c>
      <c r="G194" s="9" t="s">
        <v>705</v>
      </c>
      <c r="H194" s="9" t="s">
        <v>106</v>
      </c>
      <c r="I194" s="9" t="s">
        <v>1796</v>
      </c>
      <c r="J194" s="9" t="s">
        <v>106</v>
      </c>
      <c r="K194" s="9" t="s">
        <v>1773</v>
      </c>
      <c r="L194" s="9" t="s">
        <v>106</v>
      </c>
      <c r="M194" s="9" t="s">
        <v>1797</v>
      </c>
      <c r="N194" s="9" t="s">
        <v>1774</v>
      </c>
      <c r="O194" s="9" t="s">
        <v>1798</v>
      </c>
      <c r="P194" s="9" t="s">
        <v>308</v>
      </c>
      <c r="Q194" s="9" t="s">
        <v>1776</v>
      </c>
      <c r="R194" s="9" t="s">
        <v>1792</v>
      </c>
      <c r="S194" s="9" t="s">
        <v>1777</v>
      </c>
    </row>
    <row r="195" customFormat="false" ht="35.05" hidden="false" customHeight="false" outlineLevel="0" collapsed="false">
      <c r="A195" s="16" t="s">
        <v>1799</v>
      </c>
      <c r="B195" s="16" t="s">
        <v>67</v>
      </c>
      <c r="C195" s="9" t="s">
        <v>690</v>
      </c>
      <c r="D195" s="9" t="s">
        <v>68</v>
      </c>
      <c r="E195" s="9" t="s">
        <v>1800</v>
      </c>
      <c r="F195" s="9" t="s">
        <v>1801</v>
      </c>
      <c r="G195" s="9" t="s">
        <v>705</v>
      </c>
      <c r="H195" s="9" t="s">
        <v>106</v>
      </c>
      <c r="I195" s="9" t="s">
        <v>1802</v>
      </c>
      <c r="J195" s="9" t="s">
        <v>106</v>
      </c>
      <c r="K195" s="9" t="s">
        <v>1773</v>
      </c>
      <c r="L195" s="9" t="s">
        <v>106</v>
      </c>
      <c r="M195" s="9" t="s">
        <v>1803</v>
      </c>
      <c r="N195" s="9" t="s">
        <v>1774</v>
      </c>
      <c r="O195" s="9" t="s">
        <v>1804</v>
      </c>
      <c r="P195" s="9" t="s">
        <v>1634</v>
      </c>
      <c r="Q195" s="9" t="s">
        <v>1776</v>
      </c>
      <c r="R195" s="9" t="s">
        <v>1787</v>
      </c>
      <c r="S195" s="9" t="s">
        <v>1777</v>
      </c>
    </row>
    <row r="196" customFormat="false" ht="35.05" hidden="false" customHeight="false" outlineLevel="0" collapsed="false">
      <c r="A196" s="16" t="s">
        <v>1805</v>
      </c>
      <c r="B196" s="16" t="s">
        <v>67</v>
      </c>
      <c r="C196" s="9" t="s">
        <v>690</v>
      </c>
      <c r="D196" s="9" t="s">
        <v>68</v>
      </c>
      <c r="E196" s="9" t="s">
        <v>1806</v>
      </c>
      <c r="F196" s="9" t="s">
        <v>1807</v>
      </c>
      <c r="G196" s="9" t="s">
        <v>705</v>
      </c>
      <c r="H196" s="9" t="s">
        <v>106</v>
      </c>
      <c r="I196" s="9" t="s">
        <v>1808</v>
      </c>
      <c r="J196" s="9" t="s">
        <v>106</v>
      </c>
      <c r="K196" s="9" t="s">
        <v>1773</v>
      </c>
      <c r="L196" s="9" t="s">
        <v>106</v>
      </c>
      <c r="M196" s="9" t="s">
        <v>1148</v>
      </c>
      <c r="N196" s="9" t="s">
        <v>1774</v>
      </c>
      <c r="O196" s="9" t="s">
        <v>1809</v>
      </c>
      <c r="P196" s="9" t="s">
        <v>308</v>
      </c>
      <c r="Q196" s="9" t="s">
        <v>1776</v>
      </c>
      <c r="R196" s="9" t="s">
        <v>106</v>
      </c>
      <c r="S196" s="9" t="s">
        <v>1777</v>
      </c>
    </row>
    <row r="197" customFormat="false" ht="35.05" hidden="false" customHeight="false" outlineLevel="0" collapsed="false">
      <c r="A197" s="16" t="s">
        <v>1810</v>
      </c>
      <c r="B197" s="16" t="s">
        <v>67</v>
      </c>
      <c r="C197" s="9" t="s">
        <v>690</v>
      </c>
      <c r="D197" s="9" t="s">
        <v>68</v>
      </c>
      <c r="E197" s="9" t="s">
        <v>1811</v>
      </c>
      <c r="F197" s="9" t="s">
        <v>1812</v>
      </c>
      <c r="G197" s="9" t="s">
        <v>705</v>
      </c>
      <c r="H197" s="9" t="s">
        <v>106</v>
      </c>
      <c r="I197" s="9" t="s">
        <v>106</v>
      </c>
      <c r="J197" s="9" t="s">
        <v>106</v>
      </c>
      <c r="K197" s="9" t="s">
        <v>1773</v>
      </c>
      <c r="L197" s="9" t="s">
        <v>106</v>
      </c>
      <c r="M197" s="9" t="s">
        <v>1109</v>
      </c>
      <c r="N197" s="9" t="s">
        <v>1774</v>
      </c>
      <c r="O197" s="9" t="s">
        <v>1813</v>
      </c>
      <c r="P197" s="9" t="s">
        <v>520</v>
      </c>
      <c r="Q197" s="9" t="s">
        <v>1776</v>
      </c>
      <c r="R197" s="9" t="s">
        <v>106</v>
      </c>
      <c r="S197" s="9" t="s">
        <v>1777</v>
      </c>
    </row>
    <row r="198" customFormat="false" ht="35.05" hidden="false" customHeight="false" outlineLevel="0" collapsed="false">
      <c r="A198" s="16" t="s">
        <v>1814</v>
      </c>
      <c r="B198" s="16" t="s">
        <v>67</v>
      </c>
      <c r="C198" s="9" t="s">
        <v>690</v>
      </c>
      <c r="D198" s="9" t="s">
        <v>68</v>
      </c>
      <c r="E198" s="9" t="s">
        <v>1815</v>
      </c>
      <c r="F198" s="9" t="s">
        <v>1816</v>
      </c>
      <c r="G198" s="9" t="s">
        <v>705</v>
      </c>
      <c r="H198" s="9" t="s">
        <v>106</v>
      </c>
      <c r="I198" s="9" t="s">
        <v>106</v>
      </c>
      <c r="J198" s="9" t="s">
        <v>106</v>
      </c>
      <c r="K198" s="9" t="s">
        <v>1773</v>
      </c>
      <c r="L198" s="9" t="s">
        <v>106</v>
      </c>
      <c r="M198" s="9" t="s">
        <v>1817</v>
      </c>
      <c r="N198" s="9" t="s">
        <v>1774</v>
      </c>
      <c r="O198" s="9" t="s">
        <v>1818</v>
      </c>
      <c r="P198" s="9" t="s">
        <v>729</v>
      </c>
      <c r="Q198" s="9" t="s">
        <v>1776</v>
      </c>
      <c r="R198" s="9" t="s">
        <v>106</v>
      </c>
      <c r="S198" s="9" t="s">
        <v>1777</v>
      </c>
    </row>
    <row r="199" customFormat="false" ht="35.05" hidden="false" customHeight="false" outlineLevel="0" collapsed="false">
      <c r="A199" s="16" t="s">
        <v>1819</v>
      </c>
      <c r="B199" s="16" t="s">
        <v>67</v>
      </c>
      <c r="C199" s="9" t="s">
        <v>690</v>
      </c>
      <c r="D199" s="9" t="s">
        <v>68</v>
      </c>
      <c r="E199" s="9" t="s">
        <v>1820</v>
      </c>
      <c r="F199" s="9" t="s">
        <v>1821</v>
      </c>
      <c r="G199" s="9" t="s">
        <v>705</v>
      </c>
      <c r="H199" s="9" t="s">
        <v>106</v>
      </c>
      <c r="I199" s="9" t="s">
        <v>1822</v>
      </c>
      <c r="J199" s="9" t="s">
        <v>106</v>
      </c>
      <c r="K199" s="9" t="s">
        <v>1773</v>
      </c>
      <c r="L199" s="9" t="s">
        <v>106</v>
      </c>
      <c r="M199" s="9" t="s">
        <v>1739</v>
      </c>
      <c r="N199" s="9" t="s">
        <v>1774</v>
      </c>
      <c r="O199" s="9" t="s">
        <v>1823</v>
      </c>
      <c r="P199" s="9" t="s">
        <v>401</v>
      </c>
      <c r="Q199" s="9" t="s">
        <v>1776</v>
      </c>
      <c r="R199" s="9" t="s">
        <v>106</v>
      </c>
      <c r="S199" s="9" t="s">
        <v>1777</v>
      </c>
    </row>
    <row r="200" customFormat="false" ht="35.05" hidden="false" customHeight="false" outlineLevel="0" collapsed="false">
      <c r="A200" s="15" t="s">
        <v>1824</v>
      </c>
      <c r="B200" s="16" t="s">
        <v>67</v>
      </c>
      <c r="C200" s="9" t="s">
        <v>1825</v>
      </c>
      <c r="D200" s="9" t="s">
        <v>68</v>
      </c>
      <c r="E200" s="9" t="s">
        <v>888</v>
      </c>
      <c r="F200" s="9" t="s">
        <v>1826</v>
      </c>
      <c r="G200" s="9" t="s">
        <v>965</v>
      </c>
      <c r="H200" s="9" t="s">
        <v>560</v>
      </c>
      <c r="I200" s="9" t="s">
        <v>1827</v>
      </c>
      <c r="J200" s="9" t="s">
        <v>106</v>
      </c>
      <c r="K200" s="9" t="s">
        <v>1773</v>
      </c>
      <c r="L200" s="9" t="s">
        <v>1828</v>
      </c>
      <c r="M200" s="9" t="s">
        <v>1479</v>
      </c>
      <c r="N200" s="9" t="s">
        <v>1829</v>
      </c>
      <c r="O200" s="9" t="s">
        <v>1775</v>
      </c>
      <c r="P200" s="9" t="s">
        <v>308</v>
      </c>
      <c r="Q200" s="9" t="s">
        <v>1776</v>
      </c>
      <c r="R200" s="9" t="s">
        <v>1830</v>
      </c>
      <c r="S200" s="9" t="s">
        <v>1777</v>
      </c>
    </row>
    <row r="201" customFormat="false" ht="35.05" hidden="false" customHeight="false" outlineLevel="0" collapsed="false">
      <c r="A201" s="16" t="s">
        <v>1831</v>
      </c>
      <c r="B201" s="16" t="s">
        <v>67</v>
      </c>
      <c r="C201" s="9" t="s">
        <v>1825</v>
      </c>
      <c r="D201" s="9" t="s">
        <v>68</v>
      </c>
      <c r="E201" s="9" t="s">
        <v>30</v>
      </c>
      <c r="F201" s="9" t="s">
        <v>1832</v>
      </c>
      <c r="G201" s="9" t="s">
        <v>655</v>
      </c>
      <c r="H201" s="9" t="s">
        <v>560</v>
      </c>
      <c r="I201" s="9" t="s">
        <v>1781</v>
      </c>
      <c r="J201" s="9" t="s">
        <v>106</v>
      </c>
      <c r="K201" s="9" t="s">
        <v>1773</v>
      </c>
      <c r="L201" s="9" t="s">
        <v>106</v>
      </c>
      <c r="M201" s="9" t="s">
        <v>1782</v>
      </c>
      <c r="N201" s="9" t="s">
        <v>1829</v>
      </c>
      <c r="O201" s="9" t="s">
        <v>1783</v>
      </c>
      <c r="P201" s="9" t="s">
        <v>308</v>
      </c>
      <c r="Q201" s="9" t="s">
        <v>1776</v>
      </c>
      <c r="R201" s="9" t="s">
        <v>1833</v>
      </c>
      <c r="S201" s="9" t="s">
        <v>1777</v>
      </c>
    </row>
    <row r="202" customFormat="false" ht="35.05" hidden="false" customHeight="false" outlineLevel="0" collapsed="false">
      <c r="A202" s="16" t="s">
        <v>1834</v>
      </c>
      <c r="B202" s="16" t="s">
        <v>67</v>
      </c>
      <c r="C202" s="9" t="s">
        <v>1825</v>
      </c>
      <c r="D202" s="9" t="s">
        <v>68</v>
      </c>
      <c r="E202" s="9" t="s">
        <v>1835</v>
      </c>
      <c r="F202" s="9" t="s">
        <v>1836</v>
      </c>
      <c r="G202" s="9" t="s">
        <v>655</v>
      </c>
      <c r="H202" s="9" t="s">
        <v>560</v>
      </c>
      <c r="I202" s="9" t="s">
        <v>1837</v>
      </c>
      <c r="J202" s="9" t="s">
        <v>1838</v>
      </c>
      <c r="K202" s="9" t="s">
        <v>1773</v>
      </c>
      <c r="L202" s="9" t="s">
        <v>1839</v>
      </c>
      <c r="M202" s="9" t="s">
        <v>1797</v>
      </c>
      <c r="N202" s="9" t="s">
        <v>1829</v>
      </c>
      <c r="O202" s="9" t="s">
        <v>1798</v>
      </c>
      <c r="P202" s="9" t="s">
        <v>308</v>
      </c>
      <c r="Q202" s="9" t="s">
        <v>1776</v>
      </c>
      <c r="R202" s="9" t="s">
        <v>1792</v>
      </c>
      <c r="S202" s="9" t="s">
        <v>1777</v>
      </c>
    </row>
    <row r="203" customFormat="false" ht="35.05" hidden="false" customHeight="false" outlineLevel="0" collapsed="false">
      <c r="A203" s="16" t="s">
        <v>1840</v>
      </c>
      <c r="B203" s="16" t="s">
        <v>67</v>
      </c>
      <c r="C203" s="9" t="s">
        <v>1825</v>
      </c>
      <c r="D203" s="9" t="s">
        <v>68</v>
      </c>
      <c r="E203" s="9" t="s">
        <v>1841</v>
      </c>
      <c r="F203" s="9" t="s">
        <v>1842</v>
      </c>
      <c r="G203" s="9" t="s">
        <v>1638</v>
      </c>
      <c r="H203" s="9" t="s">
        <v>560</v>
      </c>
      <c r="I203" s="9" t="s">
        <v>1843</v>
      </c>
      <c r="J203" s="9" t="s">
        <v>106</v>
      </c>
      <c r="K203" s="9" t="s">
        <v>1773</v>
      </c>
      <c r="L203" s="9" t="s">
        <v>106</v>
      </c>
      <c r="M203" s="9" t="s">
        <v>1803</v>
      </c>
      <c r="N203" s="9" t="s">
        <v>1829</v>
      </c>
      <c r="O203" s="9" t="s">
        <v>1804</v>
      </c>
      <c r="P203" s="9" t="s">
        <v>1634</v>
      </c>
      <c r="Q203" s="9" t="s">
        <v>1776</v>
      </c>
      <c r="R203" s="9" t="s">
        <v>1844</v>
      </c>
      <c r="S203" s="9" t="s">
        <v>1777</v>
      </c>
    </row>
    <row r="204" customFormat="false" ht="35.05" hidden="false" customHeight="false" outlineLevel="0" collapsed="false">
      <c r="A204" s="16" t="s">
        <v>1845</v>
      </c>
      <c r="B204" s="16" t="s">
        <v>67</v>
      </c>
      <c r="C204" s="9" t="s">
        <v>1825</v>
      </c>
      <c r="D204" s="9" t="s">
        <v>68</v>
      </c>
      <c r="E204" s="9" t="s">
        <v>1806</v>
      </c>
      <c r="F204" s="9" t="s">
        <v>1846</v>
      </c>
      <c r="G204" s="9" t="s">
        <v>1043</v>
      </c>
      <c r="H204" s="9" t="s">
        <v>560</v>
      </c>
      <c r="I204" s="9" t="s">
        <v>1808</v>
      </c>
      <c r="J204" s="9" t="s">
        <v>106</v>
      </c>
      <c r="K204" s="9" t="s">
        <v>1773</v>
      </c>
      <c r="L204" s="9" t="s">
        <v>1087</v>
      </c>
      <c r="M204" s="9" t="s">
        <v>1148</v>
      </c>
      <c r="N204" s="9" t="s">
        <v>1829</v>
      </c>
      <c r="O204" s="9" t="s">
        <v>1809</v>
      </c>
      <c r="P204" s="9" t="s">
        <v>308</v>
      </c>
      <c r="Q204" s="9" t="s">
        <v>1776</v>
      </c>
      <c r="R204" s="9" t="s">
        <v>1847</v>
      </c>
      <c r="S204" s="9" t="s">
        <v>1777</v>
      </c>
    </row>
    <row r="205" customFormat="false" ht="46.25" hidden="false" customHeight="false" outlineLevel="0" collapsed="false">
      <c r="A205" s="16" t="s">
        <v>1848</v>
      </c>
      <c r="B205" s="16" t="s">
        <v>67</v>
      </c>
      <c r="C205" s="9" t="s">
        <v>1825</v>
      </c>
      <c r="D205" s="9" t="s">
        <v>68</v>
      </c>
      <c r="E205" s="9" t="s">
        <v>1849</v>
      </c>
      <c r="F205" s="9" t="s">
        <v>1850</v>
      </c>
      <c r="G205" s="9" t="s">
        <v>293</v>
      </c>
      <c r="H205" s="9" t="s">
        <v>106</v>
      </c>
      <c r="I205" s="9" t="s">
        <v>1851</v>
      </c>
      <c r="J205" s="9" t="s">
        <v>106</v>
      </c>
      <c r="K205" s="9" t="s">
        <v>1773</v>
      </c>
      <c r="L205" s="9" t="s">
        <v>1852</v>
      </c>
      <c r="M205" s="9" t="s">
        <v>1853</v>
      </c>
      <c r="N205" s="9" t="s">
        <v>1854</v>
      </c>
      <c r="O205" s="9" t="s">
        <v>1855</v>
      </c>
      <c r="P205" s="9" t="s">
        <v>106</v>
      </c>
      <c r="Q205" s="9" t="s">
        <v>1856</v>
      </c>
      <c r="R205" s="9" t="s">
        <v>1847</v>
      </c>
      <c r="S205" s="9" t="s">
        <v>1777</v>
      </c>
    </row>
    <row r="206" customFormat="false" ht="35.05" hidden="false" customHeight="false" outlineLevel="0" collapsed="false">
      <c r="A206" s="15" t="s">
        <v>1857</v>
      </c>
      <c r="B206" s="16" t="s">
        <v>67</v>
      </c>
      <c r="C206" s="9" t="s">
        <v>1858</v>
      </c>
      <c r="D206" s="9" t="s">
        <v>68</v>
      </c>
      <c r="E206" s="9" t="s">
        <v>1859</v>
      </c>
      <c r="F206" s="9" t="s">
        <v>1860</v>
      </c>
      <c r="G206" s="9" t="s">
        <v>1043</v>
      </c>
      <c r="H206" s="9" t="s">
        <v>560</v>
      </c>
      <c r="I206" s="9" t="s">
        <v>1822</v>
      </c>
      <c r="J206" s="9" t="s">
        <v>106</v>
      </c>
      <c r="K206" s="9" t="s">
        <v>1773</v>
      </c>
      <c r="L206" s="9" t="s">
        <v>1087</v>
      </c>
      <c r="M206" s="9" t="s">
        <v>1148</v>
      </c>
      <c r="N206" s="9" t="s">
        <v>1861</v>
      </c>
      <c r="O206" s="9" t="s">
        <v>1862</v>
      </c>
      <c r="P206" s="9" t="s">
        <v>106</v>
      </c>
      <c r="Q206" s="9" t="s">
        <v>1776</v>
      </c>
      <c r="R206" s="9" t="s">
        <v>106</v>
      </c>
      <c r="S206" s="9" t="s">
        <v>1777</v>
      </c>
    </row>
    <row r="207" customFormat="false" ht="46.25" hidden="false" customHeight="false" outlineLevel="0" collapsed="false">
      <c r="A207" s="15" t="s">
        <v>1863</v>
      </c>
      <c r="B207" s="16" t="s">
        <v>76</v>
      </c>
      <c r="C207" s="9" t="s">
        <v>1864</v>
      </c>
      <c r="D207" s="9" t="s">
        <v>77</v>
      </c>
      <c r="E207" s="9" t="s">
        <v>1865</v>
      </c>
      <c r="F207" s="9" t="s">
        <v>1866</v>
      </c>
      <c r="G207" s="9" t="s">
        <v>693</v>
      </c>
      <c r="H207" s="9" t="s">
        <v>560</v>
      </c>
      <c r="I207" s="9" t="s">
        <v>1867</v>
      </c>
      <c r="J207" s="9" t="s">
        <v>1868</v>
      </c>
      <c r="K207" s="9" t="s">
        <v>873</v>
      </c>
      <c r="L207" s="9" t="s">
        <v>106</v>
      </c>
      <c r="M207" s="9" t="s">
        <v>1869</v>
      </c>
      <c r="N207" s="9" t="s">
        <v>1870</v>
      </c>
      <c r="O207" s="9" t="s">
        <v>1871</v>
      </c>
      <c r="P207" s="9" t="s">
        <v>1563</v>
      </c>
      <c r="Q207" s="9" t="s">
        <v>1872</v>
      </c>
      <c r="R207" s="9" t="s">
        <v>106</v>
      </c>
      <c r="S207" s="9" t="s">
        <v>1873</v>
      </c>
    </row>
    <row r="208" customFormat="false" ht="46.25" hidden="false" customHeight="false" outlineLevel="0" collapsed="false">
      <c r="A208" s="16" t="s">
        <v>1874</v>
      </c>
      <c r="B208" s="16" t="s">
        <v>76</v>
      </c>
      <c r="C208" s="9" t="s">
        <v>1864</v>
      </c>
      <c r="D208" s="9" t="s">
        <v>77</v>
      </c>
      <c r="E208" s="9" t="s">
        <v>1875</v>
      </c>
      <c r="F208" s="9" t="s">
        <v>1876</v>
      </c>
      <c r="G208" s="9" t="s">
        <v>693</v>
      </c>
      <c r="H208" s="9" t="s">
        <v>560</v>
      </c>
      <c r="I208" s="9" t="s">
        <v>1877</v>
      </c>
      <c r="J208" s="9" t="s">
        <v>1878</v>
      </c>
      <c r="K208" s="9" t="s">
        <v>873</v>
      </c>
      <c r="L208" s="9" t="s">
        <v>1879</v>
      </c>
      <c r="M208" s="9" t="s">
        <v>1880</v>
      </c>
      <c r="N208" s="9" t="s">
        <v>1870</v>
      </c>
      <c r="O208" s="9" t="s">
        <v>1881</v>
      </c>
      <c r="P208" s="9" t="s">
        <v>106</v>
      </c>
      <c r="Q208" s="9" t="s">
        <v>1872</v>
      </c>
      <c r="R208" s="9" t="s">
        <v>106</v>
      </c>
      <c r="S208" s="9" t="s">
        <v>1873</v>
      </c>
    </row>
    <row r="209" customFormat="false" ht="46.25" hidden="false" customHeight="false" outlineLevel="0" collapsed="false">
      <c r="A209" s="16" t="s">
        <v>1882</v>
      </c>
      <c r="B209" s="16" t="s">
        <v>76</v>
      </c>
      <c r="C209" s="9" t="s">
        <v>1864</v>
      </c>
      <c r="D209" s="9" t="s">
        <v>77</v>
      </c>
      <c r="E209" s="9" t="s">
        <v>1883</v>
      </c>
      <c r="F209" s="9" t="s">
        <v>1884</v>
      </c>
      <c r="G209" s="9" t="s">
        <v>293</v>
      </c>
      <c r="H209" s="9" t="s">
        <v>106</v>
      </c>
      <c r="I209" s="9" t="s">
        <v>106</v>
      </c>
      <c r="J209" s="9" t="s">
        <v>106</v>
      </c>
      <c r="K209" s="9" t="s">
        <v>873</v>
      </c>
      <c r="L209" s="9" t="s">
        <v>106</v>
      </c>
      <c r="M209" s="9" t="s">
        <v>106</v>
      </c>
      <c r="N209" s="9" t="s">
        <v>1870</v>
      </c>
      <c r="O209" s="9" t="s">
        <v>1885</v>
      </c>
      <c r="P209" s="9" t="s">
        <v>106</v>
      </c>
      <c r="Q209" s="9" t="s">
        <v>1872</v>
      </c>
      <c r="R209" s="9" t="s">
        <v>106</v>
      </c>
      <c r="S209" s="9" t="s">
        <v>1873</v>
      </c>
    </row>
    <row r="210" customFormat="false" ht="46.25" hidden="false" customHeight="false" outlineLevel="0" collapsed="false">
      <c r="A210" s="16" t="s">
        <v>1886</v>
      </c>
      <c r="B210" s="16" t="s">
        <v>76</v>
      </c>
      <c r="C210" s="9" t="s">
        <v>1887</v>
      </c>
      <c r="D210" s="9" t="s">
        <v>77</v>
      </c>
      <c r="E210" s="9" t="s">
        <v>1888</v>
      </c>
      <c r="F210" s="9" t="s">
        <v>1889</v>
      </c>
      <c r="G210" s="9" t="s">
        <v>705</v>
      </c>
      <c r="H210" s="9" t="s">
        <v>106</v>
      </c>
      <c r="I210" s="9" t="s">
        <v>106</v>
      </c>
      <c r="J210" s="9" t="s">
        <v>106</v>
      </c>
      <c r="K210" s="9" t="s">
        <v>873</v>
      </c>
      <c r="L210" s="9" t="s">
        <v>106</v>
      </c>
      <c r="M210" s="9" t="s">
        <v>1890</v>
      </c>
      <c r="N210" s="9" t="s">
        <v>1870</v>
      </c>
      <c r="O210" s="9" t="s">
        <v>1891</v>
      </c>
      <c r="P210" s="9" t="s">
        <v>1892</v>
      </c>
      <c r="Q210" s="9" t="s">
        <v>1893</v>
      </c>
      <c r="R210" s="9" t="s">
        <v>1894</v>
      </c>
      <c r="S210" s="9" t="s">
        <v>1873</v>
      </c>
    </row>
    <row r="211" customFormat="false" ht="46.25" hidden="false" customHeight="false" outlineLevel="0" collapsed="false">
      <c r="A211" s="16" t="s">
        <v>1895</v>
      </c>
      <c r="B211" s="16" t="s">
        <v>76</v>
      </c>
      <c r="C211" s="9" t="s">
        <v>1887</v>
      </c>
      <c r="D211" s="9" t="s">
        <v>77</v>
      </c>
      <c r="E211" s="9" t="s">
        <v>888</v>
      </c>
      <c r="F211" s="9" t="s">
        <v>1896</v>
      </c>
      <c r="G211" s="9" t="s">
        <v>705</v>
      </c>
      <c r="H211" s="9" t="s">
        <v>106</v>
      </c>
      <c r="I211" s="9" t="s">
        <v>106</v>
      </c>
      <c r="J211" s="9" t="s">
        <v>106</v>
      </c>
      <c r="K211" s="9" t="s">
        <v>873</v>
      </c>
      <c r="L211" s="9" t="s">
        <v>106</v>
      </c>
      <c r="M211" s="9" t="s">
        <v>1554</v>
      </c>
      <c r="N211" s="9" t="s">
        <v>1870</v>
      </c>
      <c r="O211" s="9" t="s">
        <v>1897</v>
      </c>
      <c r="P211" s="9" t="s">
        <v>308</v>
      </c>
      <c r="Q211" s="9" t="s">
        <v>1893</v>
      </c>
      <c r="R211" s="9" t="s">
        <v>1894</v>
      </c>
      <c r="S211" s="9" t="s">
        <v>1873</v>
      </c>
    </row>
    <row r="212" customFormat="false" ht="46.25" hidden="false" customHeight="false" outlineLevel="0" collapsed="false">
      <c r="A212" s="16" t="s">
        <v>1898</v>
      </c>
      <c r="B212" s="16" t="s">
        <v>76</v>
      </c>
      <c r="C212" s="9" t="s">
        <v>1887</v>
      </c>
      <c r="D212" s="9" t="s">
        <v>77</v>
      </c>
      <c r="E212" s="9" t="s">
        <v>1899</v>
      </c>
      <c r="F212" s="9" t="s">
        <v>1900</v>
      </c>
      <c r="G212" s="9" t="s">
        <v>705</v>
      </c>
      <c r="H212" s="9" t="s">
        <v>106</v>
      </c>
      <c r="I212" s="9" t="s">
        <v>1901</v>
      </c>
      <c r="J212" s="9" t="s">
        <v>106</v>
      </c>
      <c r="K212" s="9" t="s">
        <v>873</v>
      </c>
      <c r="L212" s="9" t="s">
        <v>106</v>
      </c>
      <c r="M212" s="9" t="s">
        <v>1782</v>
      </c>
      <c r="N212" s="9" t="s">
        <v>1870</v>
      </c>
      <c r="O212" s="9" t="s">
        <v>1902</v>
      </c>
      <c r="P212" s="9" t="s">
        <v>308</v>
      </c>
      <c r="Q212" s="9" t="s">
        <v>1893</v>
      </c>
      <c r="R212" s="9" t="s">
        <v>106</v>
      </c>
      <c r="S212" s="9" t="s">
        <v>1873</v>
      </c>
    </row>
    <row r="213" customFormat="false" ht="46.25" hidden="false" customHeight="false" outlineLevel="0" collapsed="false">
      <c r="A213" s="16" t="s">
        <v>1903</v>
      </c>
      <c r="B213" s="16" t="s">
        <v>76</v>
      </c>
      <c r="C213" s="9" t="s">
        <v>1887</v>
      </c>
      <c r="D213" s="9" t="s">
        <v>77</v>
      </c>
      <c r="E213" s="9" t="s">
        <v>1820</v>
      </c>
      <c r="F213" s="9" t="s">
        <v>1904</v>
      </c>
      <c r="G213" s="9" t="s">
        <v>705</v>
      </c>
      <c r="H213" s="9" t="s">
        <v>106</v>
      </c>
      <c r="I213" s="9" t="s">
        <v>1737</v>
      </c>
      <c r="J213" s="9" t="s">
        <v>106</v>
      </c>
      <c r="K213" s="9" t="s">
        <v>873</v>
      </c>
      <c r="L213" s="9" t="s">
        <v>106</v>
      </c>
      <c r="M213" s="9" t="s">
        <v>1739</v>
      </c>
      <c r="N213" s="9" t="s">
        <v>1870</v>
      </c>
      <c r="O213" s="9" t="s">
        <v>1905</v>
      </c>
      <c r="P213" s="9" t="s">
        <v>401</v>
      </c>
      <c r="Q213" s="9" t="s">
        <v>1872</v>
      </c>
      <c r="R213" s="9" t="s">
        <v>106</v>
      </c>
      <c r="S213" s="9" t="s">
        <v>1873</v>
      </c>
    </row>
    <row r="214" customFormat="false" ht="46.25" hidden="false" customHeight="false" outlineLevel="0" collapsed="false">
      <c r="A214" s="16" t="s">
        <v>1906</v>
      </c>
      <c r="B214" s="16" t="s">
        <v>76</v>
      </c>
      <c r="C214" s="9" t="s">
        <v>1907</v>
      </c>
      <c r="D214" s="9" t="s">
        <v>77</v>
      </c>
      <c r="E214" s="9" t="s">
        <v>1888</v>
      </c>
      <c r="F214" s="9" t="s">
        <v>1908</v>
      </c>
      <c r="G214" s="9" t="s">
        <v>1888</v>
      </c>
      <c r="H214" s="9" t="s">
        <v>560</v>
      </c>
      <c r="I214" s="9" t="s">
        <v>1909</v>
      </c>
      <c r="J214" s="9" t="s">
        <v>106</v>
      </c>
      <c r="K214" s="9" t="s">
        <v>873</v>
      </c>
      <c r="L214" s="9" t="s">
        <v>1910</v>
      </c>
      <c r="M214" s="9" t="s">
        <v>1890</v>
      </c>
      <c r="N214" s="9" t="s">
        <v>1911</v>
      </c>
      <c r="O214" s="9" t="s">
        <v>1891</v>
      </c>
      <c r="P214" s="9" t="s">
        <v>1892</v>
      </c>
      <c r="Q214" s="9" t="s">
        <v>1912</v>
      </c>
      <c r="R214" s="9" t="s">
        <v>1913</v>
      </c>
      <c r="S214" s="9" t="s">
        <v>1873</v>
      </c>
    </row>
    <row r="215" customFormat="false" ht="46.25" hidden="false" customHeight="false" outlineLevel="0" collapsed="false">
      <c r="A215" s="15" t="s">
        <v>1914</v>
      </c>
      <c r="B215" s="16" t="s">
        <v>76</v>
      </c>
      <c r="C215" s="9" t="s">
        <v>1907</v>
      </c>
      <c r="D215" s="9" t="s">
        <v>77</v>
      </c>
      <c r="E215" s="9" t="s">
        <v>888</v>
      </c>
      <c r="F215" s="9" t="s">
        <v>1915</v>
      </c>
      <c r="G215" s="9" t="s">
        <v>965</v>
      </c>
      <c r="H215" s="9" t="s">
        <v>560</v>
      </c>
      <c r="I215" s="9" t="s">
        <v>106</v>
      </c>
      <c r="J215" s="9" t="s">
        <v>106</v>
      </c>
      <c r="K215" s="9" t="s">
        <v>873</v>
      </c>
      <c r="L215" s="9" t="s">
        <v>106</v>
      </c>
      <c r="M215" s="9" t="s">
        <v>1479</v>
      </c>
      <c r="N215" s="9" t="s">
        <v>1911</v>
      </c>
      <c r="O215" s="9" t="s">
        <v>1916</v>
      </c>
      <c r="P215" s="9" t="s">
        <v>308</v>
      </c>
      <c r="Q215" s="9" t="s">
        <v>1872</v>
      </c>
      <c r="R215" s="9" t="s">
        <v>1894</v>
      </c>
      <c r="S215" s="9" t="s">
        <v>1873</v>
      </c>
    </row>
    <row r="216" customFormat="false" ht="46.25" hidden="false" customHeight="false" outlineLevel="0" collapsed="false">
      <c r="A216" s="16" t="s">
        <v>1917</v>
      </c>
      <c r="B216" s="16" t="s">
        <v>76</v>
      </c>
      <c r="C216" s="9" t="s">
        <v>1907</v>
      </c>
      <c r="D216" s="9" t="s">
        <v>77</v>
      </c>
      <c r="E216" s="9" t="s">
        <v>30</v>
      </c>
      <c r="F216" s="9" t="s">
        <v>1918</v>
      </c>
      <c r="G216" s="9" t="s">
        <v>655</v>
      </c>
      <c r="H216" s="9" t="s">
        <v>560</v>
      </c>
      <c r="I216" s="9" t="s">
        <v>1901</v>
      </c>
      <c r="J216" s="9" t="s">
        <v>106</v>
      </c>
      <c r="K216" s="9" t="s">
        <v>873</v>
      </c>
      <c r="L216" s="9" t="s">
        <v>106</v>
      </c>
      <c r="M216" s="9" t="s">
        <v>1782</v>
      </c>
      <c r="N216" s="9" t="s">
        <v>1911</v>
      </c>
      <c r="O216" s="9" t="s">
        <v>1902</v>
      </c>
      <c r="P216" s="9" t="s">
        <v>308</v>
      </c>
      <c r="Q216" s="9" t="s">
        <v>1872</v>
      </c>
      <c r="R216" s="9" t="s">
        <v>106</v>
      </c>
      <c r="S216" s="9" t="s">
        <v>1873</v>
      </c>
    </row>
    <row r="217" customFormat="false" ht="46.25" hidden="false" customHeight="false" outlineLevel="0" collapsed="false">
      <c r="A217" s="16" t="s">
        <v>1919</v>
      </c>
      <c r="B217" s="16" t="s">
        <v>76</v>
      </c>
      <c r="C217" s="9" t="s">
        <v>1920</v>
      </c>
      <c r="D217" s="9" t="s">
        <v>77</v>
      </c>
      <c r="E217" s="9" t="s">
        <v>1921</v>
      </c>
      <c r="F217" s="9" t="s">
        <v>1922</v>
      </c>
      <c r="G217" s="9" t="s">
        <v>278</v>
      </c>
      <c r="H217" s="9" t="s">
        <v>106</v>
      </c>
      <c r="I217" s="9" t="s">
        <v>1923</v>
      </c>
      <c r="J217" s="9" t="s">
        <v>106</v>
      </c>
      <c r="K217" s="9" t="s">
        <v>873</v>
      </c>
      <c r="L217" s="9" t="s">
        <v>1924</v>
      </c>
      <c r="M217" s="9" t="s">
        <v>1166</v>
      </c>
      <c r="N217" s="9" t="s">
        <v>1925</v>
      </c>
      <c r="O217" s="9" t="s">
        <v>1926</v>
      </c>
      <c r="P217" s="9" t="s">
        <v>1927</v>
      </c>
      <c r="Q217" s="9" t="s">
        <v>1872</v>
      </c>
      <c r="R217" s="9" t="s">
        <v>1928</v>
      </c>
      <c r="S217" s="9" t="s">
        <v>1873</v>
      </c>
    </row>
    <row r="218" customFormat="false" ht="35.05" hidden="false" customHeight="false" outlineLevel="0" collapsed="false">
      <c r="A218" s="15" t="s">
        <v>1929</v>
      </c>
      <c r="B218" s="16" t="s">
        <v>84</v>
      </c>
      <c r="C218" s="9" t="s">
        <v>690</v>
      </c>
      <c r="D218" s="9" t="s">
        <v>85</v>
      </c>
      <c r="E218" s="9" t="s">
        <v>1930</v>
      </c>
      <c r="F218" s="9" t="s">
        <v>1931</v>
      </c>
      <c r="G218" s="9" t="s">
        <v>693</v>
      </c>
      <c r="H218" s="9" t="s">
        <v>395</v>
      </c>
      <c r="I218" s="9" t="s">
        <v>1932</v>
      </c>
      <c r="J218" s="9" t="s">
        <v>106</v>
      </c>
      <c r="K218" s="9" t="s">
        <v>1933</v>
      </c>
      <c r="L218" s="9" t="s">
        <v>106</v>
      </c>
      <c r="M218" s="9" t="s">
        <v>106</v>
      </c>
      <c r="N218" s="9" t="s">
        <v>1934</v>
      </c>
      <c r="O218" s="9" t="s">
        <v>106</v>
      </c>
      <c r="P218" s="9" t="s">
        <v>106</v>
      </c>
      <c r="Q218" s="9" t="s">
        <v>1935</v>
      </c>
      <c r="R218" s="9" t="s">
        <v>106</v>
      </c>
      <c r="S218" s="9" t="s">
        <v>1936</v>
      </c>
    </row>
    <row r="219" customFormat="false" ht="35.05" hidden="false" customHeight="false" outlineLevel="0" collapsed="false">
      <c r="A219" s="16" t="s">
        <v>1937</v>
      </c>
      <c r="B219" s="16" t="s">
        <v>84</v>
      </c>
      <c r="C219" s="9" t="s">
        <v>690</v>
      </c>
      <c r="D219" s="9" t="s">
        <v>85</v>
      </c>
      <c r="E219" s="9" t="s">
        <v>1938</v>
      </c>
      <c r="F219" s="9" t="s">
        <v>1939</v>
      </c>
      <c r="G219" s="9" t="s">
        <v>705</v>
      </c>
      <c r="H219" s="9" t="s">
        <v>106</v>
      </c>
      <c r="I219" s="9" t="s">
        <v>1940</v>
      </c>
      <c r="J219" s="9" t="s">
        <v>106</v>
      </c>
      <c r="K219" s="9" t="s">
        <v>1933</v>
      </c>
      <c r="L219" s="9" t="s">
        <v>106</v>
      </c>
      <c r="M219" s="9" t="s">
        <v>1941</v>
      </c>
      <c r="N219" s="9" t="s">
        <v>1934</v>
      </c>
      <c r="O219" s="9" t="s">
        <v>1942</v>
      </c>
      <c r="P219" s="9" t="s">
        <v>318</v>
      </c>
      <c r="Q219" s="9" t="s">
        <v>1943</v>
      </c>
      <c r="R219" s="9" t="s">
        <v>1944</v>
      </c>
      <c r="S219" s="9" t="s">
        <v>1936</v>
      </c>
    </row>
    <row r="220" customFormat="false" ht="35.05" hidden="false" customHeight="false" outlineLevel="0" collapsed="false">
      <c r="A220" s="15" t="s">
        <v>1945</v>
      </c>
      <c r="B220" s="16" t="s">
        <v>84</v>
      </c>
      <c r="C220" s="9" t="s">
        <v>690</v>
      </c>
      <c r="D220" s="9" t="s">
        <v>85</v>
      </c>
      <c r="E220" s="9" t="s">
        <v>1946</v>
      </c>
      <c r="F220" s="9" t="s">
        <v>1947</v>
      </c>
      <c r="G220" s="9" t="s">
        <v>705</v>
      </c>
      <c r="H220" s="9" t="s">
        <v>106</v>
      </c>
      <c r="I220" s="9" t="s">
        <v>1948</v>
      </c>
      <c r="J220" s="9" t="s">
        <v>106</v>
      </c>
      <c r="K220" s="9" t="s">
        <v>1933</v>
      </c>
      <c r="L220" s="9" t="s">
        <v>106</v>
      </c>
      <c r="M220" s="9" t="s">
        <v>1949</v>
      </c>
      <c r="N220" s="9" t="s">
        <v>1934</v>
      </c>
      <c r="O220" s="9" t="s">
        <v>1950</v>
      </c>
      <c r="P220" s="9" t="s">
        <v>308</v>
      </c>
      <c r="Q220" s="9" t="s">
        <v>1951</v>
      </c>
      <c r="R220" s="9" t="s">
        <v>1952</v>
      </c>
      <c r="S220" s="9" t="s">
        <v>1936</v>
      </c>
    </row>
    <row r="221" customFormat="false" ht="35.05" hidden="false" customHeight="false" outlineLevel="0" collapsed="false">
      <c r="A221" s="16" t="s">
        <v>1953</v>
      </c>
      <c r="B221" s="16" t="s">
        <v>84</v>
      </c>
      <c r="C221" s="9" t="s">
        <v>1954</v>
      </c>
      <c r="D221" s="9" t="s">
        <v>85</v>
      </c>
      <c r="E221" s="9" t="s">
        <v>1955</v>
      </c>
      <c r="F221" s="9" t="s">
        <v>1956</v>
      </c>
      <c r="G221" s="9" t="s">
        <v>581</v>
      </c>
      <c r="H221" s="9" t="s">
        <v>560</v>
      </c>
      <c r="I221" s="9" t="s">
        <v>1957</v>
      </c>
      <c r="J221" s="9" t="s">
        <v>1958</v>
      </c>
      <c r="K221" s="9" t="s">
        <v>1933</v>
      </c>
      <c r="L221" s="9" t="s">
        <v>1959</v>
      </c>
      <c r="M221" s="9" t="s">
        <v>1960</v>
      </c>
      <c r="N221" s="9" t="s">
        <v>1961</v>
      </c>
      <c r="O221" s="9" t="s">
        <v>1962</v>
      </c>
      <c r="P221" s="9" t="s">
        <v>1098</v>
      </c>
      <c r="Q221" s="9" t="s">
        <v>1935</v>
      </c>
      <c r="R221" s="9" t="s">
        <v>1963</v>
      </c>
      <c r="S221" s="9" t="s">
        <v>1936</v>
      </c>
    </row>
    <row r="222" customFormat="false" ht="35.05" hidden="false" customHeight="false" outlineLevel="0" collapsed="false">
      <c r="A222" s="15" t="s">
        <v>1964</v>
      </c>
      <c r="B222" s="16" t="s">
        <v>84</v>
      </c>
      <c r="C222" s="9" t="s">
        <v>1954</v>
      </c>
      <c r="D222" s="9" t="s">
        <v>85</v>
      </c>
      <c r="E222" s="9" t="s">
        <v>1965</v>
      </c>
      <c r="F222" s="9" t="s">
        <v>1966</v>
      </c>
      <c r="G222" s="9" t="s">
        <v>581</v>
      </c>
      <c r="H222" s="9" t="s">
        <v>560</v>
      </c>
      <c r="I222" s="9" t="s">
        <v>1967</v>
      </c>
      <c r="J222" s="9" t="s">
        <v>1968</v>
      </c>
      <c r="K222" s="9" t="s">
        <v>1933</v>
      </c>
      <c r="L222" s="9" t="s">
        <v>106</v>
      </c>
      <c r="M222" s="9" t="s">
        <v>1969</v>
      </c>
      <c r="N222" s="9" t="s">
        <v>1961</v>
      </c>
      <c r="O222" s="9" t="s">
        <v>1970</v>
      </c>
      <c r="P222" s="9" t="s">
        <v>1098</v>
      </c>
      <c r="Q222" s="9" t="s">
        <v>1971</v>
      </c>
      <c r="R222" s="9" t="s">
        <v>106</v>
      </c>
      <c r="S222" s="9" t="s">
        <v>1936</v>
      </c>
    </row>
    <row r="223" customFormat="false" ht="35.05" hidden="false" customHeight="false" outlineLevel="0" collapsed="false">
      <c r="A223" s="15" t="s">
        <v>1972</v>
      </c>
      <c r="B223" s="16" t="s">
        <v>84</v>
      </c>
      <c r="C223" s="9" t="s">
        <v>1954</v>
      </c>
      <c r="D223" s="9" t="s">
        <v>85</v>
      </c>
      <c r="E223" s="9" t="s">
        <v>1973</v>
      </c>
      <c r="F223" s="9" t="s">
        <v>1974</v>
      </c>
      <c r="G223" s="9" t="s">
        <v>559</v>
      </c>
      <c r="H223" s="9" t="s">
        <v>560</v>
      </c>
      <c r="I223" s="9" t="s">
        <v>1975</v>
      </c>
      <c r="J223" s="9" t="s">
        <v>1976</v>
      </c>
      <c r="K223" s="9" t="s">
        <v>1933</v>
      </c>
      <c r="L223" s="9" t="s">
        <v>106</v>
      </c>
      <c r="M223" s="9" t="s">
        <v>1977</v>
      </c>
      <c r="N223" s="9" t="s">
        <v>1961</v>
      </c>
      <c r="O223" s="9" t="s">
        <v>1978</v>
      </c>
      <c r="P223" s="9" t="s">
        <v>308</v>
      </c>
      <c r="Q223" s="9" t="s">
        <v>1979</v>
      </c>
      <c r="R223" s="9" t="s">
        <v>1980</v>
      </c>
      <c r="S223" s="9" t="s">
        <v>1936</v>
      </c>
    </row>
    <row r="224" customFormat="false" ht="46.25" hidden="false" customHeight="false" outlineLevel="0" collapsed="false">
      <c r="A224" s="16" t="s">
        <v>1981</v>
      </c>
      <c r="B224" s="16" t="s">
        <v>84</v>
      </c>
      <c r="C224" s="9" t="s">
        <v>1954</v>
      </c>
      <c r="D224" s="9" t="s">
        <v>85</v>
      </c>
      <c r="E224" s="9" t="s">
        <v>1982</v>
      </c>
      <c r="F224" s="9" t="s">
        <v>1983</v>
      </c>
      <c r="G224" s="9" t="s">
        <v>559</v>
      </c>
      <c r="H224" s="9" t="s">
        <v>395</v>
      </c>
      <c r="I224" s="9" t="s">
        <v>1984</v>
      </c>
      <c r="J224" s="9" t="s">
        <v>106</v>
      </c>
      <c r="K224" s="9" t="s">
        <v>1933</v>
      </c>
      <c r="L224" s="9" t="s">
        <v>106</v>
      </c>
      <c r="M224" s="9" t="s">
        <v>1985</v>
      </c>
      <c r="N224" s="9" t="s">
        <v>1986</v>
      </c>
      <c r="O224" s="9" t="s">
        <v>1987</v>
      </c>
      <c r="P224" s="9" t="s">
        <v>904</v>
      </c>
      <c r="Q224" s="9" t="s">
        <v>1935</v>
      </c>
      <c r="R224" s="9" t="s">
        <v>1988</v>
      </c>
      <c r="S224" s="9" t="s">
        <v>1936</v>
      </c>
    </row>
    <row r="225" customFormat="false" ht="35.05" hidden="false" customHeight="false" outlineLevel="0" collapsed="false">
      <c r="A225" s="15" t="s">
        <v>1989</v>
      </c>
      <c r="B225" s="16" t="s">
        <v>84</v>
      </c>
      <c r="C225" s="9" t="s">
        <v>1990</v>
      </c>
      <c r="D225" s="9" t="s">
        <v>85</v>
      </c>
      <c r="E225" s="9" t="s">
        <v>1991</v>
      </c>
      <c r="F225" s="9" t="s">
        <v>1992</v>
      </c>
      <c r="G225" s="9" t="s">
        <v>293</v>
      </c>
      <c r="H225" s="9" t="s">
        <v>106</v>
      </c>
      <c r="I225" s="9" t="s">
        <v>1993</v>
      </c>
      <c r="J225" s="9" t="s">
        <v>106</v>
      </c>
      <c r="K225" s="9" t="s">
        <v>1933</v>
      </c>
      <c r="L225" s="9" t="s">
        <v>106</v>
      </c>
      <c r="M225" s="9" t="s">
        <v>1994</v>
      </c>
      <c r="N225" s="9" t="s">
        <v>1934</v>
      </c>
      <c r="O225" s="9" t="s">
        <v>1995</v>
      </c>
      <c r="P225" s="9" t="s">
        <v>106</v>
      </c>
      <c r="Q225" s="9" t="s">
        <v>1979</v>
      </c>
      <c r="R225" s="9" t="s">
        <v>106</v>
      </c>
      <c r="S225" s="9" t="s">
        <v>1936</v>
      </c>
    </row>
    <row r="226" customFormat="false" ht="35.05" hidden="false" customHeight="false" outlineLevel="0" collapsed="false">
      <c r="A226" s="15" t="s">
        <v>1996</v>
      </c>
      <c r="B226" s="16" t="s">
        <v>84</v>
      </c>
      <c r="C226" s="9" t="s">
        <v>1997</v>
      </c>
      <c r="D226" s="9" t="s">
        <v>85</v>
      </c>
      <c r="E226" s="9" t="s">
        <v>1998</v>
      </c>
      <c r="F226" s="9" t="s">
        <v>1999</v>
      </c>
      <c r="G226" s="9" t="s">
        <v>581</v>
      </c>
      <c r="H226" s="9" t="s">
        <v>560</v>
      </c>
      <c r="I226" s="9" t="s">
        <v>2000</v>
      </c>
      <c r="J226" s="9" t="s">
        <v>1188</v>
      </c>
      <c r="K226" s="9" t="s">
        <v>1933</v>
      </c>
      <c r="L226" s="9" t="s">
        <v>947</v>
      </c>
      <c r="M226" s="9" t="s">
        <v>902</v>
      </c>
      <c r="N226" s="9" t="s">
        <v>2001</v>
      </c>
      <c r="O226" s="9" t="s">
        <v>2002</v>
      </c>
      <c r="P226" s="9" t="s">
        <v>1766</v>
      </c>
      <c r="Q226" s="9" t="s">
        <v>1979</v>
      </c>
      <c r="R226" s="9" t="s">
        <v>2003</v>
      </c>
      <c r="S226" s="9" t="s">
        <v>2004</v>
      </c>
    </row>
    <row r="227" customFormat="false" ht="46.25" hidden="false" customHeight="false" outlineLevel="0" collapsed="false">
      <c r="A227" s="15" t="s">
        <v>2005</v>
      </c>
      <c r="B227" s="16" t="s">
        <v>92</v>
      </c>
      <c r="C227" s="9" t="s">
        <v>690</v>
      </c>
      <c r="D227" s="9" t="s">
        <v>94</v>
      </c>
      <c r="E227" s="9" t="s">
        <v>2006</v>
      </c>
      <c r="F227" s="9" t="s">
        <v>2007</v>
      </c>
      <c r="G227" s="9" t="s">
        <v>693</v>
      </c>
      <c r="H227" s="9" t="s">
        <v>395</v>
      </c>
      <c r="I227" s="9" t="s">
        <v>2008</v>
      </c>
      <c r="J227" s="9" t="s">
        <v>2009</v>
      </c>
      <c r="K227" s="9" t="s">
        <v>2010</v>
      </c>
      <c r="L227" s="9" t="s">
        <v>106</v>
      </c>
      <c r="M227" s="9" t="s">
        <v>2011</v>
      </c>
      <c r="N227" s="9" t="s">
        <v>2012</v>
      </c>
      <c r="O227" s="9" t="s">
        <v>2013</v>
      </c>
      <c r="P227" s="9" t="s">
        <v>106</v>
      </c>
      <c r="Q227" s="9" t="s">
        <v>2014</v>
      </c>
      <c r="R227" s="9" t="s">
        <v>106</v>
      </c>
      <c r="S227" s="9" t="s">
        <v>2015</v>
      </c>
    </row>
    <row r="228" customFormat="false" ht="46.25" hidden="false" customHeight="false" outlineLevel="0" collapsed="false">
      <c r="A228" s="16" t="s">
        <v>2016</v>
      </c>
      <c r="B228" s="16" t="s">
        <v>92</v>
      </c>
      <c r="C228" s="9" t="s">
        <v>690</v>
      </c>
      <c r="D228" s="9" t="s">
        <v>94</v>
      </c>
      <c r="E228" s="9" t="s">
        <v>2017</v>
      </c>
      <c r="F228" s="9" t="s">
        <v>2018</v>
      </c>
      <c r="G228" s="9" t="s">
        <v>705</v>
      </c>
      <c r="H228" s="9" t="s">
        <v>106</v>
      </c>
      <c r="I228" s="9" t="s">
        <v>2019</v>
      </c>
      <c r="J228" s="9" t="s">
        <v>106</v>
      </c>
      <c r="K228" s="9" t="s">
        <v>2010</v>
      </c>
      <c r="L228" s="9" t="s">
        <v>106</v>
      </c>
      <c r="M228" s="9" t="s">
        <v>2020</v>
      </c>
      <c r="N228" s="9" t="s">
        <v>2021</v>
      </c>
      <c r="O228" s="9" t="s">
        <v>2022</v>
      </c>
      <c r="P228" s="9" t="s">
        <v>318</v>
      </c>
      <c r="Q228" s="9" t="s">
        <v>2023</v>
      </c>
      <c r="R228" s="9" t="s">
        <v>2024</v>
      </c>
      <c r="S228" s="9" t="s">
        <v>2015</v>
      </c>
    </row>
    <row r="229" customFormat="false" ht="46.25" hidden="false" customHeight="false" outlineLevel="0" collapsed="false">
      <c r="A229" s="16" t="s">
        <v>2025</v>
      </c>
      <c r="B229" s="16" t="s">
        <v>92</v>
      </c>
      <c r="C229" s="9" t="s">
        <v>690</v>
      </c>
      <c r="D229" s="9" t="s">
        <v>94</v>
      </c>
      <c r="E229" s="9" t="s">
        <v>2026</v>
      </c>
      <c r="F229" s="9" t="s">
        <v>2027</v>
      </c>
      <c r="G229" s="9" t="s">
        <v>705</v>
      </c>
      <c r="H229" s="9" t="s">
        <v>106</v>
      </c>
      <c r="I229" s="9" t="s">
        <v>106</v>
      </c>
      <c r="J229" s="9" t="s">
        <v>106</v>
      </c>
      <c r="K229" s="9" t="s">
        <v>2010</v>
      </c>
      <c r="L229" s="9" t="s">
        <v>106</v>
      </c>
      <c r="M229" s="9" t="s">
        <v>2028</v>
      </c>
      <c r="N229" s="9" t="s">
        <v>2021</v>
      </c>
      <c r="O229" s="9" t="s">
        <v>2029</v>
      </c>
      <c r="P229" s="9" t="s">
        <v>106</v>
      </c>
      <c r="Q229" s="9" t="s">
        <v>2014</v>
      </c>
      <c r="R229" s="9" t="s">
        <v>2024</v>
      </c>
      <c r="S229" s="9" t="s">
        <v>2015</v>
      </c>
    </row>
    <row r="230" customFormat="false" ht="46.25" hidden="false" customHeight="false" outlineLevel="0" collapsed="false">
      <c r="A230" s="16" t="s">
        <v>2030</v>
      </c>
      <c r="B230" s="16" t="s">
        <v>92</v>
      </c>
      <c r="C230" s="9" t="s">
        <v>690</v>
      </c>
      <c r="D230" s="9" t="s">
        <v>94</v>
      </c>
      <c r="E230" s="9" t="s">
        <v>2031</v>
      </c>
      <c r="F230" s="9" t="s">
        <v>2032</v>
      </c>
      <c r="G230" s="9" t="s">
        <v>705</v>
      </c>
      <c r="H230" s="9" t="s">
        <v>106</v>
      </c>
      <c r="I230" s="9" t="s">
        <v>106</v>
      </c>
      <c r="J230" s="9" t="s">
        <v>106</v>
      </c>
      <c r="K230" s="9" t="s">
        <v>2010</v>
      </c>
      <c r="L230" s="9" t="s">
        <v>106</v>
      </c>
      <c r="M230" s="9" t="s">
        <v>2033</v>
      </c>
      <c r="N230" s="9" t="s">
        <v>2021</v>
      </c>
      <c r="O230" s="9" t="s">
        <v>2034</v>
      </c>
      <c r="P230" s="9" t="s">
        <v>2035</v>
      </c>
      <c r="Q230" s="9" t="s">
        <v>2014</v>
      </c>
      <c r="R230" s="9" t="s">
        <v>2024</v>
      </c>
      <c r="S230" s="9" t="s">
        <v>2015</v>
      </c>
    </row>
    <row r="231" customFormat="false" ht="46.25" hidden="false" customHeight="false" outlineLevel="0" collapsed="false">
      <c r="A231" s="16" t="s">
        <v>2036</v>
      </c>
      <c r="B231" s="16" t="s">
        <v>92</v>
      </c>
      <c r="C231" s="9" t="s">
        <v>690</v>
      </c>
      <c r="D231" s="9" t="s">
        <v>94</v>
      </c>
      <c r="E231" s="9" t="s">
        <v>2037</v>
      </c>
      <c r="F231" s="9" t="s">
        <v>2038</v>
      </c>
      <c r="G231" s="9" t="s">
        <v>705</v>
      </c>
      <c r="H231" s="9" t="s">
        <v>106</v>
      </c>
      <c r="I231" s="9" t="s">
        <v>2039</v>
      </c>
      <c r="J231" s="9" t="s">
        <v>106</v>
      </c>
      <c r="K231" s="9" t="s">
        <v>2010</v>
      </c>
      <c r="L231" s="9" t="s">
        <v>2040</v>
      </c>
      <c r="M231" s="9" t="s">
        <v>2041</v>
      </c>
      <c r="N231" s="9" t="s">
        <v>2021</v>
      </c>
      <c r="O231" s="9" t="s">
        <v>2042</v>
      </c>
      <c r="P231" s="9" t="s">
        <v>2043</v>
      </c>
      <c r="Q231" s="9" t="s">
        <v>2044</v>
      </c>
      <c r="R231" s="9" t="s">
        <v>2024</v>
      </c>
      <c r="S231" s="9" t="s">
        <v>2015</v>
      </c>
    </row>
    <row r="232" customFormat="false" ht="46.25" hidden="false" customHeight="false" outlineLevel="0" collapsed="false">
      <c r="A232" s="16" t="s">
        <v>2045</v>
      </c>
      <c r="B232" s="16" t="s">
        <v>92</v>
      </c>
      <c r="C232" s="9" t="s">
        <v>690</v>
      </c>
      <c r="D232" s="9" t="s">
        <v>94</v>
      </c>
      <c r="E232" s="9" t="s">
        <v>2046</v>
      </c>
      <c r="F232" s="9" t="s">
        <v>2047</v>
      </c>
      <c r="G232" s="9" t="s">
        <v>705</v>
      </c>
      <c r="H232" s="9" t="s">
        <v>106</v>
      </c>
      <c r="I232" s="9" t="s">
        <v>106</v>
      </c>
      <c r="J232" s="9" t="s">
        <v>106</v>
      </c>
      <c r="K232" s="9" t="s">
        <v>2010</v>
      </c>
      <c r="L232" s="9" t="s">
        <v>2048</v>
      </c>
      <c r="M232" s="9" t="s">
        <v>2049</v>
      </c>
      <c r="N232" s="9" t="s">
        <v>2021</v>
      </c>
      <c r="O232" s="9" t="s">
        <v>2050</v>
      </c>
      <c r="P232" s="9" t="s">
        <v>2051</v>
      </c>
      <c r="Q232" s="9" t="s">
        <v>2044</v>
      </c>
      <c r="R232" s="9" t="s">
        <v>2024</v>
      </c>
      <c r="S232" s="9" t="s">
        <v>2015</v>
      </c>
    </row>
    <row r="233" customFormat="false" ht="46.25" hidden="false" customHeight="false" outlineLevel="0" collapsed="false">
      <c r="A233" s="16" t="s">
        <v>2052</v>
      </c>
      <c r="B233" s="16" t="s">
        <v>92</v>
      </c>
      <c r="C233" s="9" t="s">
        <v>690</v>
      </c>
      <c r="D233" s="9" t="s">
        <v>94</v>
      </c>
      <c r="E233" s="9" t="s">
        <v>2053</v>
      </c>
      <c r="F233" s="9" t="s">
        <v>2054</v>
      </c>
      <c r="G233" s="9" t="s">
        <v>705</v>
      </c>
      <c r="H233" s="9" t="s">
        <v>106</v>
      </c>
      <c r="I233" s="9" t="s">
        <v>2055</v>
      </c>
      <c r="J233" s="9" t="s">
        <v>106</v>
      </c>
      <c r="K233" s="9" t="s">
        <v>2010</v>
      </c>
      <c r="L233" s="9" t="s">
        <v>106</v>
      </c>
      <c r="M233" s="9" t="s">
        <v>2056</v>
      </c>
      <c r="N233" s="9" t="s">
        <v>2021</v>
      </c>
      <c r="O233" s="9" t="s">
        <v>2057</v>
      </c>
      <c r="P233" s="9" t="s">
        <v>106</v>
      </c>
      <c r="Q233" s="9" t="s">
        <v>2044</v>
      </c>
      <c r="R233" s="9" t="s">
        <v>2058</v>
      </c>
      <c r="S233" s="9" t="s">
        <v>2015</v>
      </c>
    </row>
    <row r="234" customFormat="false" ht="46.25" hidden="false" customHeight="false" outlineLevel="0" collapsed="false">
      <c r="A234" s="15" t="s">
        <v>2059</v>
      </c>
      <c r="B234" s="16" t="s">
        <v>92</v>
      </c>
      <c r="C234" s="9" t="s">
        <v>690</v>
      </c>
      <c r="D234" s="9" t="s">
        <v>94</v>
      </c>
      <c r="E234" s="9" t="s">
        <v>2060</v>
      </c>
      <c r="F234" s="9" t="s">
        <v>2061</v>
      </c>
      <c r="G234" s="9" t="s">
        <v>705</v>
      </c>
      <c r="H234" s="9" t="s">
        <v>106</v>
      </c>
      <c r="I234" s="9" t="s">
        <v>2062</v>
      </c>
      <c r="J234" s="9" t="s">
        <v>106</v>
      </c>
      <c r="K234" s="9" t="s">
        <v>2010</v>
      </c>
      <c r="L234" s="9" t="s">
        <v>2063</v>
      </c>
      <c r="M234" s="9" t="s">
        <v>2064</v>
      </c>
      <c r="N234" s="9" t="s">
        <v>2021</v>
      </c>
      <c r="O234" s="9" t="s">
        <v>2065</v>
      </c>
      <c r="P234" s="9" t="s">
        <v>401</v>
      </c>
      <c r="Q234" s="9" t="s">
        <v>2023</v>
      </c>
      <c r="R234" s="9" t="s">
        <v>2066</v>
      </c>
      <c r="S234" s="9" t="s">
        <v>2015</v>
      </c>
    </row>
    <row r="235" customFormat="false" ht="46.25" hidden="false" customHeight="false" outlineLevel="0" collapsed="false">
      <c r="A235" s="16" t="s">
        <v>2067</v>
      </c>
      <c r="B235" s="16" t="s">
        <v>92</v>
      </c>
      <c r="C235" s="9" t="s">
        <v>690</v>
      </c>
      <c r="D235" s="9" t="s">
        <v>94</v>
      </c>
      <c r="E235" s="9" t="s">
        <v>2068</v>
      </c>
      <c r="F235" s="9" t="s">
        <v>2069</v>
      </c>
      <c r="G235" s="9" t="s">
        <v>705</v>
      </c>
      <c r="H235" s="9" t="s">
        <v>106</v>
      </c>
      <c r="I235" s="9" t="s">
        <v>2070</v>
      </c>
      <c r="J235" s="9" t="s">
        <v>106</v>
      </c>
      <c r="K235" s="9" t="s">
        <v>2010</v>
      </c>
      <c r="L235" s="9" t="s">
        <v>2071</v>
      </c>
      <c r="M235" s="9" t="s">
        <v>2072</v>
      </c>
      <c r="N235" s="9" t="s">
        <v>2021</v>
      </c>
      <c r="O235" s="9" t="s">
        <v>2073</v>
      </c>
      <c r="P235" s="9" t="s">
        <v>729</v>
      </c>
      <c r="Q235" s="9" t="s">
        <v>2044</v>
      </c>
      <c r="R235" s="9" t="s">
        <v>2058</v>
      </c>
      <c r="S235" s="9" t="s">
        <v>2015</v>
      </c>
    </row>
    <row r="236" customFormat="false" ht="46.25" hidden="false" customHeight="false" outlineLevel="0" collapsed="false">
      <c r="A236" s="16" t="s">
        <v>2074</v>
      </c>
      <c r="B236" s="16" t="s">
        <v>92</v>
      </c>
      <c r="C236" s="9" t="s">
        <v>690</v>
      </c>
      <c r="D236" s="9" t="s">
        <v>94</v>
      </c>
      <c r="E236" s="9" t="s">
        <v>2075</v>
      </c>
      <c r="F236" s="9" t="s">
        <v>2076</v>
      </c>
      <c r="G236" s="9" t="s">
        <v>293</v>
      </c>
      <c r="H236" s="9" t="s">
        <v>106</v>
      </c>
      <c r="I236" s="9" t="s">
        <v>106</v>
      </c>
      <c r="J236" s="9" t="s">
        <v>106</v>
      </c>
      <c r="K236" s="9" t="s">
        <v>2010</v>
      </c>
      <c r="L236" s="9" t="s">
        <v>106</v>
      </c>
      <c r="M236" s="9" t="s">
        <v>2077</v>
      </c>
      <c r="N236" s="9" t="s">
        <v>2021</v>
      </c>
      <c r="O236" s="9" t="s">
        <v>1039</v>
      </c>
      <c r="P236" s="9" t="s">
        <v>106</v>
      </c>
      <c r="Q236" s="9" t="s">
        <v>2078</v>
      </c>
      <c r="R236" s="9" t="s">
        <v>106</v>
      </c>
      <c r="S236" s="9" t="s">
        <v>2015</v>
      </c>
    </row>
    <row r="237" customFormat="false" ht="68.65" hidden="false" customHeight="false" outlineLevel="0" collapsed="false">
      <c r="A237" s="16" t="s">
        <v>2079</v>
      </c>
      <c r="B237" s="16" t="s">
        <v>92</v>
      </c>
      <c r="C237" s="9" t="s">
        <v>2080</v>
      </c>
      <c r="D237" s="9" t="s">
        <v>94</v>
      </c>
      <c r="E237" s="9" t="s">
        <v>2081</v>
      </c>
      <c r="F237" s="9" t="s">
        <v>2082</v>
      </c>
      <c r="G237" s="9" t="s">
        <v>581</v>
      </c>
      <c r="H237" s="9" t="s">
        <v>560</v>
      </c>
      <c r="I237" s="9" t="s">
        <v>2083</v>
      </c>
      <c r="J237" s="9" t="s">
        <v>2084</v>
      </c>
      <c r="K237" s="9" t="s">
        <v>2010</v>
      </c>
      <c r="L237" s="9" t="s">
        <v>106</v>
      </c>
      <c r="M237" s="9" t="s">
        <v>2085</v>
      </c>
      <c r="N237" s="9" t="s">
        <v>2086</v>
      </c>
      <c r="O237" s="9" t="s">
        <v>2087</v>
      </c>
      <c r="P237" s="9" t="s">
        <v>2043</v>
      </c>
      <c r="Q237" s="9" t="s">
        <v>2044</v>
      </c>
      <c r="R237" s="9" t="s">
        <v>2088</v>
      </c>
      <c r="S237" s="9" t="s">
        <v>2015</v>
      </c>
    </row>
    <row r="238" customFormat="false" ht="46.25" hidden="false" customHeight="false" outlineLevel="0" collapsed="false">
      <c r="A238" s="15" t="s">
        <v>2089</v>
      </c>
      <c r="B238" s="16" t="s">
        <v>92</v>
      </c>
      <c r="C238" s="9" t="s">
        <v>2080</v>
      </c>
      <c r="D238" s="9" t="s">
        <v>94</v>
      </c>
      <c r="E238" s="9" t="s">
        <v>2090</v>
      </c>
      <c r="F238" s="9" t="s">
        <v>2091</v>
      </c>
      <c r="G238" s="9" t="s">
        <v>581</v>
      </c>
      <c r="H238" s="9" t="s">
        <v>560</v>
      </c>
      <c r="I238" s="9" t="s">
        <v>2092</v>
      </c>
      <c r="J238" s="9" t="s">
        <v>2093</v>
      </c>
      <c r="K238" s="9" t="s">
        <v>2010</v>
      </c>
      <c r="L238" s="9" t="s">
        <v>106</v>
      </c>
      <c r="M238" s="9" t="s">
        <v>2094</v>
      </c>
      <c r="N238" s="9" t="s">
        <v>2086</v>
      </c>
      <c r="O238" s="9" t="s">
        <v>2095</v>
      </c>
      <c r="P238" s="9" t="s">
        <v>1642</v>
      </c>
      <c r="Q238" s="9" t="s">
        <v>2023</v>
      </c>
      <c r="R238" s="9" t="s">
        <v>106</v>
      </c>
      <c r="S238" s="9" t="s">
        <v>2015</v>
      </c>
    </row>
    <row r="239" customFormat="false" ht="79.85" hidden="false" customHeight="false" outlineLevel="0" collapsed="false">
      <c r="A239" s="16" t="s">
        <v>2096</v>
      </c>
      <c r="B239" s="16" t="s">
        <v>101</v>
      </c>
      <c r="C239" s="9" t="s">
        <v>2097</v>
      </c>
      <c r="D239" s="9" t="s">
        <v>106</v>
      </c>
      <c r="E239" s="9" t="s">
        <v>2098</v>
      </c>
      <c r="F239" s="9" t="s">
        <v>2099</v>
      </c>
      <c r="G239" s="9" t="s">
        <v>1072</v>
      </c>
      <c r="H239" s="9" t="s">
        <v>560</v>
      </c>
      <c r="I239" s="9" t="s">
        <v>2100</v>
      </c>
      <c r="J239" s="9" t="s">
        <v>106</v>
      </c>
      <c r="K239" s="9" t="s">
        <v>2101</v>
      </c>
      <c r="L239" s="9" t="s">
        <v>2102</v>
      </c>
      <c r="M239" s="9" t="s">
        <v>2103</v>
      </c>
      <c r="N239" s="9" t="s">
        <v>2104</v>
      </c>
      <c r="O239" s="9" t="s">
        <v>728</v>
      </c>
      <c r="P239" s="9" t="s">
        <v>729</v>
      </c>
      <c r="Q239" s="9" t="s">
        <v>2105</v>
      </c>
      <c r="R239" s="9" t="s">
        <v>2106</v>
      </c>
      <c r="S239" s="9" t="s">
        <v>2107</v>
      </c>
    </row>
    <row r="240" customFormat="false" ht="79.85" hidden="false" customHeight="false" outlineLevel="0" collapsed="false">
      <c r="A240" s="16" t="s">
        <v>2108</v>
      </c>
      <c r="B240" s="16" t="s">
        <v>101</v>
      </c>
      <c r="C240" s="9" t="s">
        <v>2097</v>
      </c>
      <c r="D240" s="9" t="s">
        <v>106</v>
      </c>
      <c r="E240" s="9" t="s">
        <v>2109</v>
      </c>
      <c r="F240" s="9" t="s">
        <v>2110</v>
      </c>
      <c r="G240" s="9" t="s">
        <v>965</v>
      </c>
      <c r="H240" s="9" t="s">
        <v>395</v>
      </c>
      <c r="I240" s="9" t="s">
        <v>2111</v>
      </c>
      <c r="J240" s="9" t="s">
        <v>106</v>
      </c>
      <c r="K240" s="9" t="s">
        <v>2101</v>
      </c>
      <c r="L240" s="9" t="s">
        <v>106</v>
      </c>
      <c r="M240" s="9" t="s">
        <v>2112</v>
      </c>
      <c r="N240" s="9" t="s">
        <v>2104</v>
      </c>
      <c r="O240" s="9" t="s">
        <v>2113</v>
      </c>
      <c r="P240" s="9" t="s">
        <v>520</v>
      </c>
      <c r="Q240" s="9" t="s">
        <v>2114</v>
      </c>
      <c r="R240" s="9" t="s">
        <v>2115</v>
      </c>
      <c r="S240" s="9" t="s">
        <v>2107</v>
      </c>
    </row>
    <row r="241" customFormat="false" ht="79.85" hidden="false" customHeight="false" outlineLevel="0" collapsed="false">
      <c r="A241" s="16" t="s">
        <v>2116</v>
      </c>
      <c r="B241" s="16" t="s">
        <v>101</v>
      </c>
      <c r="C241" s="9" t="s">
        <v>2097</v>
      </c>
      <c r="D241" s="9" t="s">
        <v>106</v>
      </c>
      <c r="E241" s="9" t="s">
        <v>2117</v>
      </c>
      <c r="F241" s="9" t="s">
        <v>2118</v>
      </c>
      <c r="G241" s="9" t="s">
        <v>559</v>
      </c>
      <c r="H241" s="9" t="s">
        <v>395</v>
      </c>
      <c r="I241" s="9" t="s">
        <v>2119</v>
      </c>
      <c r="J241" s="9" t="s">
        <v>106</v>
      </c>
      <c r="K241" s="9" t="s">
        <v>2101</v>
      </c>
      <c r="L241" s="9" t="s">
        <v>106</v>
      </c>
      <c r="M241" s="9" t="s">
        <v>2120</v>
      </c>
      <c r="N241" s="9" t="s">
        <v>2104</v>
      </c>
      <c r="O241" s="9" t="s">
        <v>2121</v>
      </c>
      <c r="P241" s="9" t="s">
        <v>308</v>
      </c>
      <c r="Q241" s="9" t="s">
        <v>2114</v>
      </c>
      <c r="R241" s="9" t="s">
        <v>2115</v>
      </c>
      <c r="S241" s="9" t="s">
        <v>2107</v>
      </c>
    </row>
    <row r="242" customFormat="false" ht="79.85" hidden="false" customHeight="false" outlineLevel="0" collapsed="false">
      <c r="A242" s="16" t="s">
        <v>2122</v>
      </c>
      <c r="B242" s="16" t="s">
        <v>101</v>
      </c>
      <c r="C242" s="9" t="s">
        <v>2097</v>
      </c>
      <c r="D242" s="9" t="s">
        <v>106</v>
      </c>
      <c r="E242" s="9" t="s">
        <v>2123</v>
      </c>
      <c r="F242" s="9" t="s">
        <v>2124</v>
      </c>
      <c r="G242" s="9" t="s">
        <v>559</v>
      </c>
      <c r="H242" s="9" t="s">
        <v>395</v>
      </c>
      <c r="I242" s="9" t="s">
        <v>2125</v>
      </c>
      <c r="J242" s="9" t="s">
        <v>106</v>
      </c>
      <c r="K242" s="9" t="s">
        <v>2101</v>
      </c>
      <c r="L242" s="9" t="s">
        <v>106</v>
      </c>
      <c r="M242" s="9" t="s">
        <v>2126</v>
      </c>
      <c r="N242" s="9" t="s">
        <v>2104</v>
      </c>
      <c r="O242" s="9" t="s">
        <v>2127</v>
      </c>
      <c r="P242" s="9" t="s">
        <v>2128</v>
      </c>
      <c r="Q242" s="9" t="s">
        <v>2129</v>
      </c>
      <c r="R242" s="9" t="s">
        <v>2130</v>
      </c>
      <c r="S242" s="9" t="s">
        <v>2107</v>
      </c>
    </row>
    <row r="243" customFormat="false" ht="79.85" hidden="false" customHeight="false" outlineLevel="0" collapsed="false">
      <c r="A243" s="16" t="s">
        <v>2131</v>
      </c>
      <c r="B243" s="16" t="s">
        <v>101</v>
      </c>
      <c r="C243" s="9" t="s">
        <v>2132</v>
      </c>
      <c r="D243" s="9" t="s">
        <v>106</v>
      </c>
      <c r="E243" s="9" t="s">
        <v>2133</v>
      </c>
      <c r="F243" s="9" t="s">
        <v>2134</v>
      </c>
      <c r="G243" s="9" t="s">
        <v>705</v>
      </c>
      <c r="H243" s="9" t="s">
        <v>106</v>
      </c>
      <c r="I243" s="9" t="s">
        <v>106</v>
      </c>
      <c r="J243" s="9" t="s">
        <v>106</v>
      </c>
      <c r="K243" s="9" t="s">
        <v>2101</v>
      </c>
      <c r="L243" s="9" t="s">
        <v>106</v>
      </c>
      <c r="M243" s="9" t="s">
        <v>727</v>
      </c>
      <c r="N243" s="9" t="s">
        <v>2104</v>
      </c>
      <c r="O243" s="9" t="s">
        <v>728</v>
      </c>
      <c r="P243" s="9" t="s">
        <v>729</v>
      </c>
      <c r="Q243" s="9" t="s">
        <v>2114</v>
      </c>
      <c r="R243" s="9" t="s">
        <v>2115</v>
      </c>
      <c r="S243" s="9" t="s">
        <v>2107</v>
      </c>
    </row>
    <row r="244" customFormat="false" ht="79.85" hidden="false" customHeight="false" outlineLevel="0" collapsed="false">
      <c r="A244" s="16" t="s">
        <v>2135</v>
      </c>
      <c r="B244" s="16" t="s">
        <v>101</v>
      </c>
      <c r="C244" s="9" t="s">
        <v>2132</v>
      </c>
      <c r="D244" s="9" t="s">
        <v>106</v>
      </c>
      <c r="E244" s="9" t="s">
        <v>2136</v>
      </c>
      <c r="F244" s="9" t="s">
        <v>2137</v>
      </c>
      <c r="G244" s="9" t="s">
        <v>705</v>
      </c>
      <c r="H244" s="9" t="s">
        <v>106</v>
      </c>
      <c r="I244" s="9" t="s">
        <v>2138</v>
      </c>
      <c r="J244" s="9" t="s">
        <v>106</v>
      </c>
      <c r="K244" s="9" t="s">
        <v>2101</v>
      </c>
      <c r="L244" s="9" t="s">
        <v>106</v>
      </c>
      <c r="M244" s="9" t="s">
        <v>2139</v>
      </c>
      <c r="N244" s="9" t="s">
        <v>2104</v>
      </c>
      <c r="O244" s="9" t="s">
        <v>2140</v>
      </c>
      <c r="P244" s="9" t="s">
        <v>2141</v>
      </c>
      <c r="Q244" s="9" t="s">
        <v>2129</v>
      </c>
      <c r="R244" s="9" t="s">
        <v>2115</v>
      </c>
      <c r="S244" s="9" t="s">
        <v>2107</v>
      </c>
    </row>
    <row r="245" customFormat="false" ht="79.85" hidden="false" customHeight="false" outlineLevel="0" collapsed="false">
      <c r="A245" s="16" t="s">
        <v>2142</v>
      </c>
      <c r="B245" s="16" t="s">
        <v>101</v>
      </c>
      <c r="C245" s="9" t="s">
        <v>2132</v>
      </c>
      <c r="D245" s="9" t="s">
        <v>106</v>
      </c>
      <c r="E245" s="9" t="s">
        <v>2117</v>
      </c>
      <c r="F245" s="9" t="s">
        <v>2143</v>
      </c>
      <c r="G245" s="9" t="s">
        <v>705</v>
      </c>
      <c r="H245" s="9" t="s">
        <v>106</v>
      </c>
      <c r="I245" s="9" t="s">
        <v>106</v>
      </c>
      <c r="J245" s="9" t="s">
        <v>106</v>
      </c>
      <c r="K245" s="9" t="s">
        <v>2101</v>
      </c>
      <c r="L245" s="9" t="s">
        <v>106</v>
      </c>
      <c r="M245" s="9" t="s">
        <v>2120</v>
      </c>
      <c r="N245" s="9" t="s">
        <v>2104</v>
      </c>
      <c r="O245" s="9" t="s">
        <v>2121</v>
      </c>
      <c r="P245" s="9" t="s">
        <v>308</v>
      </c>
      <c r="Q245" s="9" t="s">
        <v>2114</v>
      </c>
      <c r="R245" s="9" t="s">
        <v>2115</v>
      </c>
      <c r="S245" s="9" t="s">
        <v>2107</v>
      </c>
    </row>
    <row r="246" customFormat="false" ht="79.85" hidden="false" customHeight="false" outlineLevel="0" collapsed="false">
      <c r="A246" s="16" t="s">
        <v>2144</v>
      </c>
      <c r="B246" s="16" t="s">
        <v>101</v>
      </c>
      <c r="C246" s="9" t="s">
        <v>2132</v>
      </c>
      <c r="D246" s="9" t="s">
        <v>106</v>
      </c>
      <c r="E246" s="9" t="s">
        <v>2145</v>
      </c>
      <c r="F246" s="9" t="s">
        <v>2146</v>
      </c>
      <c r="G246" s="9" t="s">
        <v>705</v>
      </c>
      <c r="H246" s="9" t="s">
        <v>106</v>
      </c>
      <c r="I246" s="9" t="s">
        <v>106</v>
      </c>
      <c r="J246" s="9" t="s">
        <v>106</v>
      </c>
      <c r="K246" s="9" t="s">
        <v>2101</v>
      </c>
      <c r="L246" s="9" t="s">
        <v>106</v>
      </c>
      <c r="M246" s="9" t="s">
        <v>2126</v>
      </c>
      <c r="N246" s="9" t="s">
        <v>2104</v>
      </c>
      <c r="O246" s="9" t="s">
        <v>2127</v>
      </c>
      <c r="P246" s="9" t="s">
        <v>2128</v>
      </c>
      <c r="Q246" s="9" t="s">
        <v>2114</v>
      </c>
      <c r="R246" s="9" t="s">
        <v>2115</v>
      </c>
      <c r="S246" s="9" t="s">
        <v>2107</v>
      </c>
    </row>
    <row r="247" customFormat="false" ht="79.85" hidden="false" customHeight="false" outlineLevel="0" collapsed="false">
      <c r="A247" s="16" t="s">
        <v>2147</v>
      </c>
      <c r="B247" s="16" t="s">
        <v>101</v>
      </c>
      <c r="C247" s="9" t="s">
        <v>2132</v>
      </c>
      <c r="D247" s="9" t="s">
        <v>106</v>
      </c>
      <c r="E247" s="9" t="s">
        <v>1806</v>
      </c>
      <c r="F247" s="9" t="s">
        <v>2148</v>
      </c>
      <c r="G247" s="9" t="s">
        <v>705</v>
      </c>
      <c r="H247" s="9" t="s">
        <v>106</v>
      </c>
      <c r="I247" s="9" t="s">
        <v>106</v>
      </c>
      <c r="J247" s="9" t="s">
        <v>106</v>
      </c>
      <c r="K247" s="9" t="s">
        <v>2101</v>
      </c>
      <c r="L247" s="9" t="s">
        <v>106</v>
      </c>
      <c r="M247" s="9" t="s">
        <v>1148</v>
      </c>
      <c r="N247" s="9" t="s">
        <v>2104</v>
      </c>
      <c r="O247" s="9" t="s">
        <v>2149</v>
      </c>
      <c r="P247" s="9" t="s">
        <v>308</v>
      </c>
      <c r="Q247" s="9" t="s">
        <v>2114</v>
      </c>
      <c r="R247" s="9" t="s">
        <v>2115</v>
      </c>
      <c r="S247" s="9" t="s">
        <v>2107</v>
      </c>
    </row>
    <row r="248" customFormat="false" ht="35.05" hidden="false" customHeight="false" outlineLevel="0" collapsed="false">
      <c r="A248" s="16" t="s">
        <v>2150</v>
      </c>
      <c r="B248" s="16" t="s">
        <v>101</v>
      </c>
      <c r="C248" s="9" t="s">
        <v>2151</v>
      </c>
      <c r="D248" s="9" t="s">
        <v>106</v>
      </c>
      <c r="E248" s="9" t="s">
        <v>2152</v>
      </c>
      <c r="F248" s="9" t="s">
        <v>2153</v>
      </c>
      <c r="G248" s="9" t="s">
        <v>293</v>
      </c>
      <c r="H248" s="9" t="s">
        <v>106</v>
      </c>
      <c r="I248" s="9" t="s">
        <v>2154</v>
      </c>
      <c r="J248" s="9" t="s">
        <v>106</v>
      </c>
      <c r="K248" s="9" t="s">
        <v>2155</v>
      </c>
      <c r="L248" s="9" t="s">
        <v>106</v>
      </c>
      <c r="M248" s="9" t="s">
        <v>2156</v>
      </c>
      <c r="N248" s="9" t="s">
        <v>2157</v>
      </c>
      <c r="O248" s="9" t="s">
        <v>2158</v>
      </c>
      <c r="P248" s="9" t="s">
        <v>2159</v>
      </c>
      <c r="Q248" s="9" t="s">
        <v>2114</v>
      </c>
      <c r="R248" s="9" t="s">
        <v>2160</v>
      </c>
      <c r="S248" s="9" t="s">
        <v>2107</v>
      </c>
    </row>
    <row r="249" customFormat="false" ht="23.85" hidden="false" customHeight="false" outlineLevel="0" collapsed="false">
      <c r="A249" s="16" t="s">
        <v>2161</v>
      </c>
      <c r="B249" s="16" t="s">
        <v>101</v>
      </c>
      <c r="C249" s="9" t="s">
        <v>2151</v>
      </c>
      <c r="D249" s="9" t="s">
        <v>106</v>
      </c>
      <c r="E249" s="9" t="s">
        <v>2162</v>
      </c>
      <c r="F249" s="9" t="s">
        <v>2163</v>
      </c>
      <c r="G249" s="9" t="s">
        <v>293</v>
      </c>
      <c r="H249" s="9" t="s">
        <v>106</v>
      </c>
      <c r="I249" s="9" t="s">
        <v>106</v>
      </c>
      <c r="J249" s="9" t="s">
        <v>106</v>
      </c>
      <c r="K249" s="9" t="s">
        <v>2164</v>
      </c>
      <c r="L249" s="9" t="s">
        <v>106</v>
      </c>
      <c r="M249" s="9" t="s">
        <v>2165</v>
      </c>
      <c r="N249" s="9" t="s">
        <v>2157</v>
      </c>
      <c r="O249" s="9" t="s">
        <v>2166</v>
      </c>
      <c r="P249" s="9" t="s">
        <v>2167</v>
      </c>
      <c r="Q249" s="9" t="s">
        <v>2168</v>
      </c>
      <c r="R249" s="9" t="s">
        <v>2115</v>
      </c>
      <c r="S249" s="9" t="s">
        <v>2107</v>
      </c>
    </row>
    <row r="250" customFormat="false" ht="79.85" hidden="false" customHeight="false" outlineLevel="0" collapsed="false">
      <c r="A250" s="16" t="s">
        <v>2169</v>
      </c>
      <c r="B250" s="16" t="s">
        <v>101</v>
      </c>
      <c r="C250" s="9" t="s">
        <v>2151</v>
      </c>
      <c r="D250" s="9" t="s">
        <v>106</v>
      </c>
      <c r="E250" s="9" t="s">
        <v>2170</v>
      </c>
      <c r="F250" s="9" t="s">
        <v>2171</v>
      </c>
      <c r="G250" s="9" t="s">
        <v>293</v>
      </c>
      <c r="H250" s="9" t="s">
        <v>106</v>
      </c>
      <c r="I250" s="9" t="s">
        <v>106</v>
      </c>
      <c r="J250" s="9" t="s">
        <v>106</v>
      </c>
      <c r="K250" s="9" t="s">
        <v>2101</v>
      </c>
      <c r="L250" s="9" t="s">
        <v>106</v>
      </c>
      <c r="M250" s="9" t="s">
        <v>751</v>
      </c>
      <c r="N250" s="9" t="s">
        <v>2157</v>
      </c>
      <c r="O250" s="9" t="s">
        <v>2172</v>
      </c>
      <c r="P250" s="9" t="s">
        <v>308</v>
      </c>
      <c r="Q250" s="9" t="s">
        <v>2114</v>
      </c>
      <c r="R250" s="9" t="s">
        <v>106</v>
      </c>
      <c r="S250" s="9" t="s">
        <v>2107</v>
      </c>
    </row>
    <row r="251" customFormat="false" ht="57.45" hidden="false" customHeight="false" outlineLevel="0" collapsed="false">
      <c r="A251" s="15" t="s">
        <v>2173</v>
      </c>
      <c r="B251" s="16" t="s">
        <v>101</v>
      </c>
      <c r="C251" s="9" t="s">
        <v>2151</v>
      </c>
      <c r="D251" s="9" t="s">
        <v>106</v>
      </c>
      <c r="E251" s="9" t="s">
        <v>2174</v>
      </c>
      <c r="F251" s="9" t="s">
        <v>2175</v>
      </c>
      <c r="G251" s="9" t="s">
        <v>293</v>
      </c>
      <c r="H251" s="9" t="s">
        <v>106</v>
      </c>
      <c r="I251" s="9" t="s">
        <v>2176</v>
      </c>
      <c r="J251" s="9" t="s">
        <v>106</v>
      </c>
      <c r="K251" s="9" t="s">
        <v>2155</v>
      </c>
      <c r="L251" s="9" t="s">
        <v>106</v>
      </c>
      <c r="M251" s="9" t="s">
        <v>2177</v>
      </c>
      <c r="N251" s="9" t="s">
        <v>2157</v>
      </c>
      <c r="O251" s="9" t="s">
        <v>2178</v>
      </c>
      <c r="P251" s="9" t="s">
        <v>286</v>
      </c>
      <c r="Q251" s="9" t="s">
        <v>2114</v>
      </c>
      <c r="R251" s="9" t="s">
        <v>2179</v>
      </c>
      <c r="S251" s="9" t="s">
        <v>2107</v>
      </c>
    </row>
    <row r="252" customFormat="false" ht="23.85" hidden="false" customHeight="false" outlineLevel="0" collapsed="false">
      <c r="A252" s="16" t="s">
        <v>2180</v>
      </c>
      <c r="B252" s="16" t="s">
        <v>101</v>
      </c>
      <c r="C252" s="9" t="s">
        <v>2181</v>
      </c>
      <c r="D252" s="9" t="s">
        <v>106</v>
      </c>
      <c r="E252" s="9" t="s">
        <v>2182</v>
      </c>
      <c r="F252" s="9" t="s">
        <v>2183</v>
      </c>
      <c r="G252" s="9" t="s">
        <v>655</v>
      </c>
      <c r="H252" s="9" t="s">
        <v>560</v>
      </c>
      <c r="I252" s="9" t="s">
        <v>2184</v>
      </c>
      <c r="J252" s="9" t="s">
        <v>106</v>
      </c>
      <c r="K252" s="9" t="s">
        <v>2185</v>
      </c>
      <c r="L252" s="9" t="s">
        <v>106</v>
      </c>
      <c r="M252" s="9" t="s">
        <v>2186</v>
      </c>
      <c r="N252" s="9" t="s">
        <v>2187</v>
      </c>
      <c r="O252" s="9" t="s">
        <v>1527</v>
      </c>
      <c r="P252" s="9" t="s">
        <v>106</v>
      </c>
      <c r="Q252" s="9" t="s">
        <v>2188</v>
      </c>
      <c r="R252" s="9" t="s">
        <v>2189</v>
      </c>
      <c r="S252" s="9" t="s">
        <v>2107</v>
      </c>
    </row>
    <row r="253" customFormat="false" ht="35.05" hidden="false" customHeight="false" outlineLevel="0" collapsed="false">
      <c r="A253" s="16" t="s">
        <v>2190</v>
      </c>
      <c r="B253" s="16" t="s">
        <v>101</v>
      </c>
      <c r="C253" s="9" t="s">
        <v>2181</v>
      </c>
      <c r="D253" s="9" t="s">
        <v>106</v>
      </c>
      <c r="E253" s="9" t="s">
        <v>2191</v>
      </c>
      <c r="F253" s="9" t="s">
        <v>2192</v>
      </c>
      <c r="G253" s="9" t="s">
        <v>1043</v>
      </c>
      <c r="H253" s="9" t="s">
        <v>560</v>
      </c>
      <c r="I253" s="9" t="s">
        <v>1044</v>
      </c>
      <c r="J253" s="9" t="s">
        <v>106</v>
      </c>
      <c r="K253" s="9" t="s">
        <v>2185</v>
      </c>
      <c r="L253" s="9" t="s">
        <v>2193</v>
      </c>
      <c r="M253" s="9" t="s">
        <v>1148</v>
      </c>
      <c r="N253" s="9" t="s">
        <v>2187</v>
      </c>
      <c r="O253" s="9" t="s">
        <v>2194</v>
      </c>
      <c r="P253" s="9" t="s">
        <v>308</v>
      </c>
      <c r="Q253" s="9" t="s">
        <v>2188</v>
      </c>
      <c r="R253" s="9" t="s">
        <v>2195</v>
      </c>
      <c r="S253" s="9" t="s">
        <v>2107</v>
      </c>
    </row>
    <row r="254" customFormat="false" ht="57.45" hidden="false" customHeight="false" outlineLevel="0" collapsed="false">
      <c r="A254" s="16" t="s">
        <v>2196</v>
      </c>
      <c r="B254" s="16" t="s">
        <v>111</v>
      </c>
      <c r="C254" s="9" t="s">
        <v>690</v>
      </c>
      <c r="D254" s="9" t="s">
        <v>2197</v>
      </c>
      <c r="E254" s="9" t="s">
        <v>2198</v>
      </c>
      <c r="F254" s="9" t="s">
        <v>2199</v>
      </c>
      <c r="G254" s="9" t="s">
        <v>693</v>
      </c>
      <c r="H254" s="9" t="s">
        <v>106</v>
      </c>
      <c r="I254" s="9" t="s">
        <v>2200</v>
      </c>
      <c r="J254" s="9" t="s">
        <v>2201</v>
      </c>
      <c r="K254" s="9" t="s">
        <v>2202</v>
      </c>
      <c r="L254" s="9" t="s">
        <v>106</v>
      </c>
      <c r="M254" s="9" t="s">
        <v>2203</v>
      </c>
      <c r="N254" s="9" t="s">
        <v>2204</v>
      </c>
      <c r="O254" s="9" t="s">
        <v>2205</v>
      </c>
      <c r="P254" s="9" t="s">
        <v>729</v>
      </c>
      <c r="Q254" s="9" t="s">
        <v>2206</v>
      </c>
      <c r="R254" s="9" t="s">
        <v>2207</v>
      </c>
      <c r="S254" s="9" t="s">
        <v>2208</v>
      </c>
    </row>
    <row r="255" customFormat="false" ht="57.45" hidden="false" customHeight="false" outlineLevel="0" collapsed="false">
      <c r="A255" s="15" t="s">
        <v>2209</v>
      </c>
      <c r="B255" s="16" t="s">
        <v>111</v>
      </c>
      <c r="C255" s="9" t="s">
        <v>690</v>
      </c>
      <c r="D255" s="9" t="s">
        <v>2197</v>
      </c>
      <c r="E255" s="9" t="s">
        <v>2210</v>
      </c>
      <c r="F255" s="9" t="s">
        <v>2211</v>
      </c>
      <c r="G255" s="9" t="s">
        <v>693</v>
      </c>
      <c r="H255" s="9" t="s">
        <v>395</v>
      </c>
      <c r="I255" s="9" t="s">
        <v>2212</v>
      </c>
      <c r="J255" s="9" t="s">
        <v>106</v>
      </c>
      <c r="K255" s="9" t="s">
        <v>2202</v>
      </c>
      <c r="L255" s="9" t="s">
        <v>106</v>
      </c>
      <c r="M255" s="9" t="s">
        <v>957</v>
      </c>
      <c r="N255" s="9" t="s">
        <v>2204</v>
      </c>
      <c r="O255" s="9" t="s">
        <v>2213</v>
      </c>
      <c r="P255" s="9" t="s">
        <v>308</v>
      </c>
      <c r="Q255" s="9" t="s">
        <v>2206</v>
      </c>
      <c r="R255" s="9" t="s">
        <v>106</v>
      </c>
      <c r="S255" s="9" t="s">
        <v>2208</v>
      </c>
    </row>
    <row r="256" customFormat="false" ht="57.45" hidden="false" customHeight="false" outlineLevel="0" collapsed="false">
      <c r="A256" s="16" t="s">
        <v>2214</v>
      </c>
      <c r="B256" s="16" t="s">
        <v>111</v>
      </c>
      <c r="C256" s="9" t="s">
        <v>690</v>
      </c>
      <c r="D256" s="9" t="s">
        <v>2197</v>
      </c>
      <c r="E256" s="9" t="s">
        <v>2215</v>
      </c>
      <c r="F256" s="9" t="s">
        <v>2216</v>
      </c>
      <c r="G256" s="9" t="s">
        <v>693</v>
      </c>
      <c r="H256" s="9" t="s">
        <v>395</v>
      </c>
      <c r="I256" s="9" t="s">
        <v>2217</v>
      </c>
      <c r="J256" s="9" t="s">
        <v>106</v>
      </c>
      <c r="K256" s="9" t="s">
        <v>2202</v>
      </c>
      <c r="L256" s="9" t="s">
        <v>106</v>
      </c>
      <c r="M256" s="9" t="s">
        <v>2218</v>
      </c>
      <c r="N256" s="9" t="s">
        <v>2204</v>
      </c>
      <c r="O256" s="9" t="s">
        <v>2219</v>
      </c>
      <c r="P256" s="9" t="s">
        <v>520</v>
      </c>
      <c r="Q256" s="9" t="s">
        <v>2206</v>
      </c>
      <c r="R256" s="9" t="s">
        <v>106</v>
      </c>
      <c r="S256" s="9" t="s">
        <v>2208</v>
      </c>
    </row>
    <row r="257" customFormat="false" ht="57.45" hidden="false" customHeight="false" outlineLevel="0" collapsed="false">
      <c r="A257" s="16" t="s">
        <v>2220</v>
      </c>
      <c r="B257" s="16" t="s">
        <v>111</v>
      </c>
      <c r="C257" s="9" t="s">
        <v>690</v>
      </c>
      <c r="D257" s="9" t="s">
        <v>2197</v>
      </c>
      <c r="E257" s="9" t="s">
        <v>2221</v>
      </c>
      <c r="F257" s="9" t="s">
        <v>2222</v>
      </c>
      <c r="G257" s="9" t="s">
        <v>693</v>
      </c>
      <c r="H257" s="9" t="s">
        <v>395</v>
      </c>
      <c r="I257" s="9" t="s">
        <v>106</v>
      </c>
      <c r="J257" s="9" t="s">
        <v>106</v>
      </c>
      <c r="K257" s="9" t="s">
        <v>2202</v>
      </c>
      <c r="L257" s="9" t="s">
        <v>106</v>
      </c>
      <c r="M257" s="9" t="s">
        <v>2223</v>
      </c>
      <c r="N257" s="9" t="s">
        <v>2204</v>
      </c>
      <c r="O257" s="9" t="s">
        <v>2224</v>
      </c>
      <c r="P257" s="9" t="s">
        <v>729</v>
      </c>
      <c r="Q257" s="9" t="s">
        <v>2206</v>
      </c>
      <c r="R257" s="9" t="s">
        <v>106</v>
      </c>
      <c r="S257" s="9" t="s">
        <v>2208</v>
      </c>
    </row>
    <row r="258" customFormat="false" ht="57.45" hidden="false" customHeight="false" outlineLevel="0" collapsed="false">
      <c r="A258" s="16" t="s">
        <v>2225</v>
      </c>
      <c r="B258" s="16" t="s">
        <v>111</v>
      </c>
      <c r="C258" s="9" t="s">
        <v>690</v>
      </c>
      <c r="D258" s="9" t="s">
        <v>2197</v>
      </c>
      <c r="E258" s="9" t="s">
        <v>2226</v>
      </c>
      <c r="F258" s="9" t="s">
        <v>2227</v>
      </c>
      <c r="G258" s="9" t="s">
        <v>871</v>
      </c>
      <c r="H258" s="9" t="s">
        <v>395</v>
      </c>
      <c r="I258" s="9" t="s">
        <v>106</v>
      </c>
      <c r="J258" s="9" t="s">
        <v>106</v>
      </c>
      <c r="K258" s="9" t="s">
        <v>2202</v>
      </c>
      <c r="L258" s="9" t="s">
        <v>106</v>
      </c>
      <c r="M258" s="9" t="s">
        <v>874</v>
      </c>
      <c r="N258" s="9" t="s">
        <v>2204</v>
      </c>
      <c r="O258" s="9" t="s">
        <v>2228</v>
      </c>
      <c r="P258" s="9" t="s">
        <v>2141</v>
      </c>
      <c r="Q258" s="9" t="s">
        <v>2206</v>
      </c>
      <c r="R258" s="9" t="s">
        <v>106</v>
      </c>
      <c r="S258" s="9" t="s">
        <v>2208</v>
      </c>
    </row>
    <row r="259" customFormat="false" ht="57.45" hidden="false" customHeight="false" outlineLevel="0" collapsed="false">
      <c r="A259" s="16" t="s">
        <v>2229</v>
      </c>
      <c r="B259" s="16" t="s">
        <v>111</v>
      </c>
      <c r="C259" s="9" t="s">
        <v>690</v>
      </c>
      <c r="D259" s="9" t="s">
        <v>2197</v>
      </c>
      <c r="E259" s="9" t="s">
        <v>2230</v>
      </c>
      <c r="F259" s="9" t="s">
        <v>2231</v>
      </c>
      <c r="G259" s="9" t="s">
        <v>705</v>
      </c>
      <c r="H259" s="9" t="s">
        <v>106</v>
      </c>
      <c r="I259" s="9" t="s">
        <v>2232</v>
      </c>
      <c r="J259" s="9" t="s">
        <v>106</v>
      </c>
      <c r="K259" s="9" t="s">
        <v>2202</v>
      </c>
      <c r="L259" s="9" t="s">
        <v>106</v>
      </c>
      <c r="M259" s="9" t="s">
        <v>2233</v>
      </c>
      <c r="N259" s="9" t="s">
        <v>2204</v>
      </c>
      <c r="O259" s="9" t="s">
        <v>2234</v>
      </c>
      <c r="P259" s="9" t="s">
        <v>2128</v>
      </c>
      <c r="Q259" s="9" t="s">
        <v>2206</v>
      </c>
      <c r="R259" s="9" t="s">
        <v>2235</v>
      </c>
      <c r="S259" s="9" t="s">
        <v>2208</v>
      </c>
    </row>
    <row r="260" customFormat="false" ht="57.45" hidden="false" customHeight="false" outlineLevel="0" collapsed="false">
      <c r="A260" s="16" t="s">
        <v>2236</v>
      </c>
      <c r="B260" s="16" t="s">
        <v>111</v>
      </c>
      <c r="C260" s="9" t="s">
        <v>690</v>
      </c>
      <c r="D260" s="9" t="s">
        <v>2197</v>
      </c>
      <c r="E260" s="9" t="s">
        <v>1806</v>
      </c>
      <c r="F260" s="9" t="s">
        <v>2237</v>
      </c>
      <c r="G260" s="9" t="s">
        <v>705</v>
      </c>
      <c r="H260" s="9" t="s">
        <v>106</v>
      </c>
      <c r="I260" s="9" t="s">
        <v>106</v>
      </c>
      <c r="J260" s="9" t="s">
        <v>106</v>
      </c>
      <c r="K260" s="9" t="s">
        <v>2202</v>
      </c>
      <c r="L260" s="9" t="s">
        <v>106</v>
      </c>
      <c r="M260" s="9" t="s">
        <v>1148</v>
      </c>
      <c r="N260" s="9" t="s">
        <v>2204</v>
      </c>
      <c r="O260" s="9" t="s">
        <v>2238</v>
      </c>
      <c r="P260" s="9" t="s">
        <v>308</v>
      </c>
      <c r="Q260" s="9" t="s">
        <v>2206</v>
      </c>
      <c r="R260" s="9" t="s">
        <v>2235</v>
      </c>
      <c r="S260" s="9" t="s">
        <v>2208</v>
      </c>
    </row>
    <row r="261" customFormat="false" ht="57.45" hidden="false" customHeight="false" outlineLevel="0" collapsed="false">
      <c r="A261" s="16" t="s">
        <v>2239</v>
      </c>
      <c r="B261" s="16" t="s">
        <v>111</v>
      </c>
      <c r="C261" s="9" t="s">
        <v>690</v>
      </c>
      <c r="D261" s="9" t="s">
        <v>2197</v>
      </c>
      <c r="E261" s="9" t="s">
        <v>2240</v>
      </c>
      <c r="F261" s="9" t="s">
        <v>2241</v>
      </c>
      <c r="G261" s="9" t="s">
        <v>705</v>
      </c>
      <c r="H261" s="9" t="s">
        <v>106</v>
      </c>
      <c r="I261" s="9" t="s">
        <v>106</v>
      </c>
      <c r="J261" s="9" t="s">
        <v>106</v>
      </c>
      <c r="K261" s="9" t="s">
        <v>2202</v>
      </c>
      <c r="L261" s="9" t="s">
        <v>106</v>
      </c>
      <c r="M261" s="9" t="s">
        <v>2242</v>
      </c>
      <c r="N261" s="9" t="s">
        <v>2204</v>
      </c>
      <c r="O261" s="9" t="s">
        <v>2243</v>
      </c>
      <c r="P261" s="9" t="s">
        <v>308</v>
      </c>
      <c r="Q261" s="9" t="s">
        <v>2206</v>
      </c>
      <c r="R261" s="9" t="s">
        <v>2235</v>
      </c>
      <c r="S261" s="9" t="s">
        <v>2208</v>
      </c>
    </row>
    <row r="262" customFormat="false" ht="57.45" hidden="false" customHeight="false" outlineLevel="0" collapsed="false">
      <c r="A262" s="16" t="s">
        <v>2244</v>
      </c>
      <c r="B262" s="16" t="s">
        <v>111</v>
      </c>
      <c r="C262" s="9" t="s">
        <v>690</v>
      </c>
      <c r="D262" s="9" t="s">
        <v>2197</v>
      </c>
      <c r="E262" s="9" t="s">
        <v>2245</v>
      </c>
      <c r="F262" s="9" t="s">
        <v>2246</v>
      </c>
      <c r="G262" s="9" t="s">
        <v>705</v>
      </c>
      <c r="H262" s="9" t="s">
        <v>106</v>
      </c>
      <c r="I262" s="9" t="s">
        <v>2247</v>
      </c>
      <c r="J262" s="9" t="s">
        <v>106</v>
      </c>
      <c r="K262" s="9" t="s">
        <v>2202</v>
      </c>
      <c r="L262" s="9" t="s">
        <v>106</v>
      </c>
      <c r="M262" s="9" t="s">
        <v>2218</v>
      </c>
      <c r="N262" s="9" t="s">
        <v>2204</v>
      </c>
      <c r="O262" s="9" t="s">
        <v>2219</v>
      </c>
      <c r="P262" s="9" t="s">
        <v>520</v>
      </c>
      <c r="Q262" s="9" t="s">
        <v>2206</v>
      </c>
      <c r="R262" s="9" t="s">
        <v>2207</v>
      </c>
      <c r="S262" s="9" t="s">
        <v>2208</v>
      </c>
    </row>
    <row r="263" customFormat="false" ht="57.45" hidden="false" customHeight="false" outlineLevel="0" collapsed="false">
      <c r="A263" s="16" t="s">
        <v>2248</v>
      </c>
      <c r="B263" s="16" t="s">
        <v>111</v>
      </c>
      <c r="C263" s="9" t="s">
        <v>690</v>
      </c>
      <c r="D263" s="9" t="s">
        <v>2197</v>
      </c>
      <c r="E263" s="9" t="s">
        <v>2249</v>
      </c>
      <c r="F263" s="9" t="s">
        <v>2250</v>
      </c>
      <c r="G263" s="9" t="s">
        <v>705</v>
      </c>
      <c r="H263" s="9" t="s">
        <v>106</v>
      </c>
      <c r="I263" s="9" t="s">
        <v>106</v>
      </c>
      <c r="J263" s="9" t="s">
        <v>106</v>
      </c>
      <c r="K263" s="9" t="s">
        <v>2202</v>
      </c>
      <c r="L263" s="9" t="s">
        <v>106</v>
      </c>
      <c r="M263" s="9" t="s">
        <v>2251</v>
      </c>
      <c r="N263" s="9" t="s">
        <v>2204</v>
      </c>
      <c r="O263" s="9" t="s">
        <v>2224</v>
      </c>
      <c r="P263" s="9" t="s">
        <v>729</v>
      </c>
      <c r="Q263" s="9" t="s">
        <v>2206</v>
      </c>
      <c r="R263" s="9" t="s">
        <v>2235</v>
      </c>
      <c r="S263" s="9" t="s">
        <v>2208</v>
      </c>
    </row>
    <row r="264" customFormat="false" ht="57.45" hidden="false" customHeight="false" outlineLevel="0" collapsed="false">
      <c r="A264" s="16" t="s">
        <v>2252</v>
      </c>
      <c r="B264" s="16" t="s">
        <v>111</v>
      </c>
      <c r="C264" s="9" t="s">
        <v>690</v>
      </c>
      <c r="D264" s="9" t="s">
        <v>2253</v>
      </c>
      <c r="E264" s="9" t="s">
        <v>2254</v>
      </c>
      <c r="F264" s="9" t="s">
        <v>2255</v>
      </c>
      <c r="G264" s="9" t="s">
        <v>705</v>
      </c>
      <c r="H264" s="9" t="s">
        <v>106</v>
      </c>
      <c r="I264" s="9" t="s">
        <v>106</v>
      </c>
      <c r="J264" s="9" t="s">
        <v>106</v>
      </c>
      <c r="K264" s="9" t="s">
        <v>2202</v>
      </c>
      <c r="L264" s="9" t="s">
        <v>106</v>
      </c>
      <c r="M264" s="9" t="s">
        <v>2256</v>
      </c>
      <c r="N264" s="9" t="s">
        <v>2204</v>
      </c>
      <c r="O264" s="9" t="s">
        <v>2257</v>
      </c>
      <c r="P264" s="9" t="s">
        <v>520</v>
      </c>
      <c r="Q264" s="9" t="s">
        <v>2206</v>
      </c>
      <c r="R264" s="9" t="s">
        <v>2235</v>
      </c>
      <c r="S264" s="9" t="s">
        <v>2208</v>
      </c>
    </row>
    <row r="265" customFormat="false" ht="57.45" hidden="false" customHeight="false" outlineLevel="0" collapsed="false">
      <c r="A265" s="16" t="s">
        <v>2258</v>
      </c>
      <c r="B265" s="16" t="s">
        <v>111</v>
      </c>
      <c r="C265" s="9" t="s">
        <v>690</v>
      </c>
      <c r="D265" s="9" t="s">
        <v>2253</v>
      </c>
      <c r="E265" s="9" t="s">
        <v>2259</v>
      </c>
      <c r="F265" s="9" t="s">
        <v>2260</v>
      </c>
      <c r="G265" s="9" t="s">
        <v>705</v>
      </c>
      <c r="H265" s="9" t="s">
        <v>106</v>
      </c>
      <c r="I265" s="9" t="s">
        <v>106</v>
      </c>
      <c r="J265" s="9" t="s">
        <v>106</v>
      </c>
      <c r="K265" s="9" t="s">
        <v>2202</v>
      </c>
      <c r="L265" s="9" t="s">
        <v>106</v>
      </c>
      <c r="M265" s="9" t="s">
        <v>2261</v>
      </c>
      <c r="N265" s="9" t="s">
        <v>2204</v>
      </c>
      <c r="O265" s="9" t="s">
        <v>2262</v>
      </c>
      <c r="P265" s="9" t="s">
        <v>729</v>
      </c>
      <c r="Q265" s="9" t="s">
        <v>2206</v>
      </c>
      <c r="R265" s="9" t="s">
        <v>2235</v>
      </c>
      <c r="S265" s="9" t="s">
        <v>2208</v>
      </c>
    </row>
    <row r="266" customFormat="false" ht="57.45" hidden="false" customHeight="false" outlineLevel="0" collapsed="false">
      <c r="A266" s="16" t="s">
        <v>2263</v>
      </c>
      <c r="B266" s="16" t="s">
        <v>111</v>
      </c>
      <c r="C266" s="9" t="s">
        <v>690</v>
      </c>
      <c r="D266" s="9" t="s">
        <v>2253</v>
      </c>
      <c r="E266" s="9" t="s">
        <v>2264</v>
      </c>
      <c r="F266" s="9" t="s">
        <v>2265</v>
      </c>
      <c r="G266" s="9" t="s">
        <v>705</v>
      </c>
      <c r="H266" s="9" t="s">
        <v>106</v>
      </c>
      <c r="I266" s="9" t="s">
        <v>106</v>
      </c>
      <c r="J266" s="9" t="s">
        <v>106</v>
      </c>
      <c r="K266" s="9" t="s">
        <v>2202</v>
      </c>
      <c r="L266" s="9" t="s">
        <v>106</v>
      </c>
      <c r="M266" s="9" t="s">
        <v>2266</v>
      </c>
      <c r="N266" s="9" t="s">
        <v>2204</v>
      </c>
      <c r="O266" s="9" t="s">
        <v>2267</v>
      </c>
      <c r="P266" s="9" t="s">
        <v>308</v>
      </c>
      <c r="Q266" s="9" t="s">
        <v>2206</v>
      </c>
      <c r="R266" s="9" t="s">
        <v>2235</v>
      </c>
      <c r="S266" s="9" t="s">
        <v>2208</v>
      </c>
    </row>
    <row r="267" customFormat="false" ht="57.45" hidden="false" customHeight="false" outlineLevel="0" collapsed="false">
      <c r="A267" s="15" t="s">
        <v>2268</v>
      </c>
      <c r="B267" s="16" t="s">
        <v>111</v>
      </c>
      <c r="C267" s="9" t="s">
        <v>1504</v>
      </c>
      <c r="D267" s="9" t="s">
        <v>2201</v>
      </c>
      <c r="E267" s="9" t="s">
        <v>2269</v>
      </c>
      <c r="F267" s="9" t="s">
        <v>2270</v>
      </c>
      <c r="G267" s="9" t="s">
        <v>293</v>
      </c>
      <c r="H267" s="9" t="s">
        <v>106</v>
      </c>
      <c r="I267" s="9" t="s">
        <v>106</v>
      </c>
      <c r="J267" s="9" t="s">
        <v>106</v>
      </c>
      <c r="K267" s="9" t="s">
        <v>2202</v>
      </c>
      <c r="L267" s="9" t="s">
        <v>106</v>
      </c>
      <c r="M267" s="9" t="s">
        <v>2271</v>
      </c>
      <c r="N267" s="9" t="s">
        <v>2272</v>
      </c>
      <c r="O267" s="9" t="s">
        <v>2273</v>
      </c>
      <c r="P267" s="9" t="s">
        <v>106</v>
      </c>
      <c r="Q267" s="9" t="s">
        <v>2206</v>
      </c>
      <c r="R267" s="9" t="s">
        <v>2235</v>
      </c>
      <c r="S267" s="9" t="s">
        <v>2208</v>
      </c>
    </row>
    <row r="268" customFormat="false" ht="35.05" hidden="false" customHeight="false" outlineLevel="0" collapsed="false">
      <c r="A268" s="16" t="s">
        <v>2274</v>
      </c>
      <c r="B268" s="16" t="s">
        <v>111</v>
      </c>
      <c r="C268" s="9" t="s">
        <v>2275</v>
      </c>
      <c r="D268" s="9" t="s">
        <v>2201</v>
      </c>
      <c r="E268" s="9" t="s">
        <v>2276</v>
      </c>
      <c r="F268" s="9" t="s">
        <v>2277</v>
      </c>
      <c r="G268" s="9" t="s">
        <v>559</v>
      </c>
      <c r="H268" s="9" t="s">
        <v>560</v>
      </c>
      <c r="I268" s="9" t="s">
        <v>2278</v>
      </c>
      <c r="J268" s="9" t="s">
        <v>106</v>
      </c>
      <c r="K268" s="9" t="s">
        <v>2279</v>
      </c>
      <c r="L268" s="9" t="s">
        <v>106</v>
      </c>
      <c r="M268" s="9" t="s">
        <v>957</v>
      </c>
      <c r="N268" s="9" t="s">
        <v>2280</v>
      </c>
      <c r="O268" s="9" t="s">
        <v>2213</v>
      </c>
      <c r="P268" s="9" t="s">
        <v>308</v>
      </c>
      <c r="Q268" s="9" t="s">
        <v>2281</v>
      </c>
      <c r="R268" s="9" t="s">
        <v>2235</v>
      </c>
      <c r="S268" s="9" t="s">
        <v>2208</v>
      </c>
    </row>
    <row r="269" customFormat="false" ht="23.85" hidden="false" customHeight="false" outlineLevel="0" collapsed="false">
      <c r="A269" s="16" t="s">
        <v>2282</v>
      </c>
      <c r="B269" s="16" t="s">
        <v>111</v>
      </c>
      <c r="C269" s="9" t="s">
        <v>2275</v>
      </c>
      <c r="D269" s="9" t="s">
        <v>2201</v>
      </c>
      <c r="E269" s="9" t="s">
        <v>2283</v>
      </c>
      <c r="F269" s="9" t="s">
        <v>2284</v>
      </c>
      <c r="G269" s="9" t="s">
        <v>965</v>
      </c>
      <c r="H269" s="9" t="s">
        <v>560</v>
      </c>
      <c r="I269" s="9" t="s">
        <v>2285</v>
      </c>
      <c r="J269" s="9" t="s">
        <v>106</v>
      </c>
      <c r="K269" s="9" t="s">
        <v>2279</v>
      </c>
      <c r="L269" s="9" t="s">
        <v>2286</v>
      </c>
      <c r="M269" s="9" t="s">
        <v>2287</v>
      </c>
      <c r="N269" s="9" t="s">
        <v>2280</v>
      </c>
      <c r="O269" s="9" t="s">
        <v>2288</v>
      </c>
      <c r="P269" s="9" t="s">
        <v>520</v>
      </c>
      <c r="Q269" s="9" t="s">
        <v>2281</v>
      </c>
      <c r="R269" s="9" t="s">
        <v>2235</v>
      </c>
      <c r="S269" s="9" t="s">
        <v>2208</v>
      </c>
    </row>
    <row r="270" customFormat="false" ht="23.85" hidden="false" customHeight="false" outlineLevel="0" collapsed="false">
      <c r="A270" s="16" t="s">
        <v>2289</v>
      </c>
      <c r="B270" s="16" t="s">
        <v>111</v>
      </c>
      <c r="C270" s="9" t="s">
        <v>2275</v>
      </c>
      <c r="D270" s="9" t="s">
        <v>2201</v>
      </c>
      <c r="E270" s="9" t="s">
        <v>1806</v>
      </c>
      <c r="F270" s="9" t="s">
        <v>2290</v>
      </c>
      <c r="G270" s="9" t="s">
        <v>1043</v>
      </c>
      <c r="H270" s="9" t="s">
        <v>560</v>
      </c>
      <c r="I270" s="9" t="s">
        <v>106</v>
      </c>
      <c r="J270" s="9" t="s">
        <v>106</v>
      </c>
      <c r="K270" s="9" t="s">
        <v>2279</v>
      </c>
      <c r="L270" s="9" t="s">
        <v>2291</v>
      </c>
      <c r="M270" s="9" t="s">
        <v>1148</v>
      </c>
      <c r="N270" s="9" t="s">
        <v>2280</v>
      </c>
      <c r="O270" s="9" t="s">
        <v>2238</v>
      </c>
      <c r="P270" s="9" t="s">
        <v>308</v>
      </c>
      <c r="Q270" s="9" t="s">
        <v>2281</v>
      </c>
      <c r="R270" s="9" t="s">
        <v>2235</v>
      </c>
      <c r="S270" s="9" t="s">
        <v>2208</v>
      </c>
    </row>
    <row r="271" customFormat="false" ht="23.85" hidden="false" customHeight="false" outlineLevel="0" collapsed="false">
      <c r="A271" s="16" t="s">
        <v>2292</v>
      </c>
      <c r="B271" s="16" t="s">
        <v>111</v>
      </c>
      <c r="C271" s="9" t="s">
        <v>2275</v>
      </c>
      <c r="D271" s="9" t="s">
        <v>2201</v>
      </c>
      <c r="E271" s="9" t="s">
        <v>2240</v>
      </c>
      <c r="F271" s="9" t="s">
        <v>2293</v>
      </c>
      <c r="G271" s="9" t="s">
        <v>965</v>
      </c>
      <c r="H271" s="9" t="s">
        <v>560</v>
      </c>
      <c r="I271" s="9" t="s">
        <v>106</v>
      </c>
      <c r="J271" s="9" t="s">
        <v>106</v>
      </c>
      <c r="K271" s="9" t="s">
        <v>2279</v>
      </c>
      <c r="L271" s="9" t="s">
        <v>2291</v>
      </c>
      <c r="M271" s="9" t="s">
        <v>2242</v>
      </c>
      <c r="N271" s="9" t="s">
        <v>2280</v>
      </c>
      <c r="O271" s="9" t="s">
        <v>2243</v>
      </c>
      <c r="P271" s="9" t="s">
        <v>308</v>
      </c>
      <c r="Q271" s="9" t="s">
        <v>2281</v>
      </c>
      <c r="R271" s="9" t="s">
        <v>2235</v>
      </c>
      <c r="S271" s="9" t="s">
        <v>2208</v>
      </c>
    </row>
    <row r="272" customFormat="false" ht="35.05" hidden="false" customHeight="false" outlineLevel="0" collapsed="false">
      <c r="A272" s="16" t="s">
        <v>2294</v>
      </c>
      <c r="B272" s="16" t="s">
        <v>111</v>
      </c>
      <c r="C272" s="9" t="s">
        <v>2295</v>
      </c>
      <c r="D272" s="9" t="s">
        <v>2201</v>
      </c>
      <c r="E272" s="9" t="s">
        <v>2296</v>
      </c>
      <c r="F272" s="9" t="s">
        <v>2297</v>
      </c>
      <c r="G272" s="9" t="s">
        <v>293</v>
      </c>
      <c r="H272" s="9" t="s">
        <v>106</v>
      </c>
      <c r="I272" s="9" t="s">
        <v>2298</v>
      </c>
      <c r="J272" s="9" t="s">
        <v>106</v>
      </c>
      <c r="K272" s="9" t="s">
        <v>2299</v>
      </c>
      <c r="L272" s="9" t="s">
        <v>106</v>
      </c>
      <c r="M272" s="9" t="s">
        <v>2300</v>
      </c>
      <c r="N272" s="9" t="s">
        <v>2272</v>
      </c>
      <c r="O272" s="9" t="s">
        <v>2301</v>
      </c>
      <c r="P272" s="9" t="s">
        <v>106</v>
      </c>
      <c r="Q272" s="9" t="s">
        <v>2206</v>
      </c>
      <c r="R272" s="9" t="s">
        <v>2235</v>
      </c>
      <c r="S272" s="9" t="s">
        <v>2208</v>
      </c>
    </row>
    <row r="273" customFormat="false" ht="23.85" hidden="false" customHeight="false" outlineLevel="0" collapsed="false">
      <c r="A273" s="16" t="s">
        <v>2302</v>
      </c>
      <c r="B273" s="16" t="s">
        <v>111</v>
      </c>
      <c r="C273" s="9" t="s">
        <v>2295</v>
      </c>
      <c r="D273" s="9" t="s">
        <v>2201</v>
      </c>
      <c r="E273" s="9" t="s">
        <v>2264</v>
      </c>
      <c r="F273" s="9" t="s">
        <v>2303</v>
      </c>
      <c r="G273" s="9" t="s">
        <v>1043</v>
      </c>
      <c r="H273" s="9" t="s">
        <v>560</v>
      </c>
      <c r="I273" s="9" t="s">
        <v>2304</v>
      </c>
      <c r="J273" s="9" t="s">
        <v>106</v>
      </c>
      <c r="K273" s="9" t="s">
        <v>2299</v>
      </c>
      <c r="L273" s="9" t="s">
        <v>1087</v>
      </c>
      <c r="M273" s="9" t="s">
        <v>2266</v>
      </c>
      <c r="N273" s="9" t="s">
        <v>2305</v>
      </c>
      <c r="O273" s="9" t="s">
        <v>2267</v>
      </c>
      <c r="P273" s="9" t="s">
        <v>308</v>
      </c>
      <c r="Q273" s="9" t="s">
        <v>2206</v>
      </c>
      <c r="R273" s="9" t="s">
        <v>2235</v>
      </c>
      <c r="S273" s="9" t="s">
        <v>2208</v>
      </c>
    </row>
    <row r="274" customFormat="false" ht="46.25" hidden="false" customHeight="false" outlineLevel="0" collapsed="false">
      <c r="A274" s="15" t="s">
        <v>2306</v>
      </c>
      <c r="B274" s="16" t="s">
        <v>121</v>
      </c>
      <c r="C274" s="9" t="s">
        <v>690</v>
      </c>
      <c r="D274" s="9" t="s">
        <v>2307</v>
      </c>
      <c r="E274" s="9" t="s">
        <v>2308</v>
      </c>
      <c r="F274" s="9" t="s">
        <v>2309</v>
      </c>
      <c r="G274" s="9" t="s">
        <v>693</v>
      </c>
      <c r="H274" s="9" t="s">
        <v>106</v>
      </c>
      <c r="I274" s="9" t="s">
        <v>2310</v>
      </c>
      <c r="J274" s="9" t="s">
        <v>2311</v>
      </c>
      <c r="K274" s="9" t="s">
        <v>2312</v>
      </c>
      <c r="L274" s="9" t="s">
        <v>106</v>
      </c>
      <c r="M274" s="9" t="s">
        <v>305</v>
      </c>
      <c r="N274" s="9" t="s">
        <v>2313</v>
      </c>
      <c r="O274" s="9" t="s">
        <v>2314</v>
      </c>
      <c r="P274" s="9" t="s">
        <v>308</v>
      </c>
      <c r="Q274" s="9" t="s">
        <v>2315</v>
      </c>
      <c r="R274" s="9" t="s">
        <v>2316</v>
      </c>
      <c r="S274" s="9" t="s">
        <v>2317</v>
      </c>
    </row>
    <row r="275" customFormat="false" ht="46.25" hidden="false" customHeight="false" outlineLevel="0" collapsed="false">
      <c r="A275" s="15" t="s">
        <v>2318</v>
      </c>
      <c r="B275" s="16" t="s">
        <v>121</v>
      </c>
      <c r="C275" s="9" t="s">
        <v>690</v>
      </c>
      <c r="D275" s="9" t="s">
        <v>2307</v>
      </c>
      <c r="E275" s="9" t="s">
        <v>2319</v>
      </c>
      <c r="F275" s="9" t="s">
        <v>2320</v>
      </c>
      <c r="G275" s="9" t="s">
        <v>693</v>
      </c>
      <c r="H275" s="9" t="s">
        <v>395</v>
      </c>
      <c r="I275" s="9" t="s">
        <v>2321</v>
      </c>
      <c r="J275" s="9" t="s">
        <v>106</v>
      </c>
      <c r="K275" s="9" t="s">
        <v>2312</v>
      </c>
      <c r="L275" s="9" t="s">
        <v>106</v>
      </c>
      <c r="M275" s="9" t="s">
        <v>1782</v>
      </c>
      <c r="N275" s="9" t="s">
        <v>2313</v>
      </c>
      <c r="O275" s="9" t="s">
        <v>2322</v>
      </c>
      <c r="P275" s="9" t="s">
        <v>308</v>
      </c>
      <c r="Q275" s="9" t="s">
        <v>2323</v>
      </c>
      <c r="R275" s="9" t="s">
        <v>106</v>
      </c>
      <c r="S275" s="9" t="s">
        <v>2317</v>
      </c>
    </row>
    <row r="276" customFormat="false" ht="46.25" hidden="false" customHeight="false" outlineLevel="0" collapsed="false">
      <c r="A276" s="16" t="s">
        <v>2324</v>
      </c>
      <c r="B276" s="16" t="s">
        <v>121</v>
      </c>
      <c r="C276" s="9" t="s">
        <v>690</v>
      </c>
      <c r="D276" s="9" t="s">
        <v>2307</v>
      </c>
      <c r="E276" s="9" t="s">
        <v>2325</v>
      </c>
      <c r="F276" s="9" t="s">
        <v>2326</v>
      </c>
      <c r="G276" s="9" t="s">
        <v>693</v>
      </c>
      <c r="H276" s="9" t="s">
        <v>395</v>
      </c>
      <c r="I276" s="9" t="s">
        <v>106</v>
      </c>
      <c r="J276" s="9" t="s">
        <v>106</v>
      </c>
      <c r="K276" s="9" t="s">
        <v>2312</v>
      </c>
      <c r="L276" s="9" t="s">
        <v>106</v>
      </c>
      <c r="M276" s="9" t="s">
        <v>884</v>
      </c>
      <c r="N276" s="9" t="s">
        <v>2313</v>
      </c>
      <c r="O276" s="9" t="s">
        <v>2327</v>
      </c>
      <c r="P276" s="9" t="s">
        <v>106</v>
      </c>
      <c r="Q276" s="9" t="s">
        <v>2323</v>
      </c>
      <c r="R276" s="9" t="s">
        <v>106</v>
      </c>
      <c r="S276" s="9" t="s">
        <v>2317</v>
      </c>
    </row>
    <row r="277" customFormat="false" ht="46.25" hidden="false" customHeight="false" outlineLevel="0" collapsed="false">
      <c r="A277" s="16" t="s">
        <v>2328</v>
      </c>
      <c r="B277" s="16" t="s">
        <v>121</v>
      </c>
      <c r="C277" s="9" t="s">
        <v>690</v>
      </c>
      <c r="D277" s="9" t="s">
        <v>2307</v>
      </c>
      <c r="E277" s="9" t="s">
        <v>2221</v>
      </c>
      <c r="F277" s="9" t="s">
        <v>2329</v>
      </c>
      <c r="G277" s="9" t="s">
        <v>693</v>
      </c>
      <c r="H277" s="9" t="s">
        <v>395</v>
      </c>
      <c r="I277" s="9" t="s">
        <v>2330</v>
      </c>
      <c r="J277" s="9" t="s">
        <v>106</v>
      </c>
      <c r="K277" s="9" t="s">
        <v>2312</v>
      </c>
      <c r="L277" s="9" t="s">
        <v>106</v>
      </c>
      <c r="M277" s="9" t="s">
        <v>2331</v>
      </c>
      <c r="N277" s="9" t="s">
        <v>2313</v>
      </c>
      <c r="O277" s="9" t="s">
        <v>2332</v>
      </c>
      <c r="P277" s="9" t="s">
        <v>729</v>
      </c>
      <c r="Q277" s="9" t="s">
        <v>2323</v>
      </c>
      <c r="R277" s="9" t="s">
        <v>106</v>
      </c>
      <c r="S277" s="9" t="s">
        <v>2317</v>
      </c>
    </row>
    <row r="278" customFormat="false" ht="46.25" hidden="false" customHeight="false" outlineLevel="0" collapsed="false">
      <c r="A278" s="16" t="s">
        <v>2333</v>
      </c>
      <c r="B278" s="16" t="s">
        <v>121</v>
      </c>
      <c r="C278" s="9" t="s">
        <v>690</v>
      </c>
      <c r="D278" s="9" t="s">
        <v>2307</v>
      </c>
      <c r="E278" s="9" t="s">
        <v>2334</v>
      </c>
      <c r="F278" s="9" t="s">
        <v>2335</v>
      </c>
      <c r="G278" s="9" t="s">
        <v>293</v>
      </c>
      <c r="H278" s="9" t="s">
        <v>106</v>
      </c>
      <c r="I278" s="9" t="s">
        <v>106</v>
      </c>
      <c r="J278" s="9" t="s">
        <v>106</v>
      </c>
      <c r="K278" s="9" t="s">
        <v>2312</v>
      </c>
      <c r="L278" s="9" t="s">
        <v>106</v>
      </c>
      <c r="M278" s="9" t="s">
        <v>2336</v>
      </c>
      <c r="N278" s="9" t="s">
        <v>2313</v>
      </c>
      <c r="O278" s="9" t="s">
        <v>2337</v>
      </c>
      <c r="P278" s="9" t="s">
        <v>106</v>
      </c>
      <c r="Q278" s="9" t="s">
        <v>2323</v>
      </c>
      <c r="R278" s="9" t="s">
        <v>2338</v>
      </c>
      <c r="S278" s="9" t="s">
        <v>2317</v>
      </c>
    </row>
    <row r="279" customFormat="false" ht="46.25" hidden="false" customHeight="false" outlineLevel="0" collapsed="false">
      <c r="A279" s="16" t="s">
        <v>2339</v>
      </c>
      <c r="B279" s="16" t="s">
        <v>121</v>
      </c>
      <c r="C279" s="9" t="s">
        <v>690</v>
      </c>
      <c r="D279" s="9" t="s">
        <v>2307</v>
      </c>
      <c r="E279" s="9" t="s">
        <v>2340</v>
      </c>
      <c r="F279" s="9" t="s">
        <v>2341</v>
      </c>
      <c r="G279" s="9" t="s">
        <v>705</v>
      </c>
      <c r="H279" s="9" t="s">
        <v>106</v>
      </c>
      <c r="I279" s="9" t="s">
        <v>106</v>
      </c>
      <c r="J279" s="9" t="s">
        <v>106</v>
      </c>
      <c r="K279" s="9" t="s">
        <v>2312</v>
      </c>
      <c r="L279" s="9" t="s">
        <v>106</v>
      </c>
      <c r="M279" s="9" t="s">
        <v>1782</v>
      </c>
      <c r="N279" s="9" t="s">
        <v>2313</v>
      </c>
      <c r="O279" s="9" t="s">
        <v>2322</v>
      </c>
      <c r="P279" s="9" t="s">
        <v>308</v>
      </c>
      <c r="Q279" s="9" t="s">
        <v>2323</v>
      </c>
      <c r="R279" s="9" t="s">
        <v>2338</v>
      </c>
      <c r="S279" s="9" t="s">
        <v>2317</v>
      </c>
    </row>
    <row r="280" customFormat="false" ht="46.25" hidden="false" customHeight="false" outlineLevel="0" collapsed="false">
      <c r="A280" s="15" t="s">
        <v>2342</v>
      </c>
      <c r="B280" s="16" t="s">
        <v>121</v>
      </c>
      <c r="C280" s="9" t="s">
        <v>690</v>
      </c>
      <c r="D280" s="9" t="s">
        <v>2307</v>
      </c>
      <c r="E280" s="9" t="s">
        <v>1489</v>
      </c>
      <c r="F280" s="9" t="s">
        <v>2343</v>
      </c>
      <c r="G280" s="9" t="s">
        <v>705</v>
      </c>
      <c r="H280" s="9" t="s">
        <v>106</v>
      </c>
      <c r="I280" s="9" t="s">
        <v>106</v>
      </c>
      <c r="J280" s="9" t="s">
        <v>106</v>
      </c>
      <c r="K280" s="9" t="s">
        <v>2312</v>
      </c>
      <c r="L280" s="9" t="s">
        <v>106</v>
      </c>
      <c r="M280" s="9" t="s">
        <v>884</v>
      </c>
      <c r="N280" s="9" t="s">
        <v>2313</v>
      </c>
      <c r="O280" s="9" t="s">
        <v>2327</v>
      </c>
      <c r="P280" s="9" t="s">
        <v>106</v>
      </c>
      <c r="Q280" s="9" t="s">
        <v>2323</v>
      </c>
      <c r="R280" s="9" t="s">
        <v>106</v>
      </c>
      <c r="S280" s="9" t="s">
        <v>2317</v>
      </c>
    </row>
    <row r="281" customFormat="false" ht="46.25" hidden="false" customHeight="false" outlineLevel="0" collapsed="false">
      <c r="A281" s="16" t="s">
        <v>2344</v>
      </c>
      <c r="B281" s="16" t="s">
        <v>121</v>
      </c>
      <c r="C281" s="9" t="s">
        <v>690</v>
      </c>
      <c r="D281" s="9" t="s">
        <v>2307</v>
      </c>
      <c r="E281" s="9" t="s">
        <v>2345</v>
      </c>
      <c r="F281" s="9" t="s">
        <v>2346</v>
      </c>
      <c r="G281" s="9" t="s">
        <v>705</v>
      </c>
      <c r="H281" s="9" t="s">
        <v>106</v>
      </c>
      <c r="I281" s="9" t="s">
        <v>106</v>
      </c>
      <c r="J281" s="9" t="s">
        <v>106</v>
      </c>
      <c r="K281" s="9" t="s">
        <v>2312</v>
      </c>
      <c r="L281" s="9" t="s">
        <v>106</v>
      </c>
      <c r="M281" s="9" t="s">
        <v>2347</v>
      </c>
      <c r="N281" s="9" t="s">
        <v>2313</v>
      </c>
      <c r="O281" s="9" t="s">
        <v>2327</v>
      </c>
      <c r="P281" s="9" t="s">
        <v>106</v>
      </c>
      <c r="Q281" s="9" t="s">
        <v>2323</v>
      </c>
      <c r="R281" s="9" t="s">
        <v>106</v>
      </c>
      <c r="S281" s="9" t="s">
        <v>2317</v>
      </c>
    </row>
    <row r="282" customFormat="false" ht="46.25" hidden="false" customHeight="false" outlineLevel="0" collapsed="false">
      <c r="A282" s="16" t="s">
        <v>2348</v>
      </c>
      <c r="B282" s="16" t="s">
        <v>121</v>
      </c>
      <c r="C282" s="9" t="s">
        <v>690</v>
      </c>
      <c r="D282" s="9" t="s">
        <v>2307</v>
      </c>
      <c r="E282" s="9" t="s">
        <v>2349</v>
      </c>
      <c r="F282" s="9" t="s">
        <v>2350</v>
      </c>
      <c r="G282" s="9" t="s">
        <v>705</v>
      </c>
      <c r="H282" s="9" t="s">
        <v>106</v>
      </c>
      <c r="I282" s="9" t="s">
        <v>2351</v>
      </c>
      <c r="J282" s="9" t="s">
        <v>106</v>
      </c>
      <c r="K282" s="9" t="s">
        <v>2312</v>
      </c>
      <c r="L282" s="9" t="s">
        <v>106</v>
      </c>
      <c r="M282" s="9" t="s">
        <v>2352</v>
      </c>
      <c r="N282" s="9" t="s">
        <v>2313</v>
      </c>
      <c r="O282" s="9" t="s">
        <v>2353</v>
      </c>
      <c r="P282" s="9" t="s">
        <v>1098</v>
      </c>
      <c r="Q282" s="9" t="s">
        <v>2315</v>
      </c>
      <c r="R282" s="9" t="s">
        <v>2338</v>
      </c>
      <c r="S282" s="9" t="s">
        <v>2317</v>
      </c>
    </row>
    <row r="283" customFormat="false" ht="46.25" hidden="false" customHeight="false" outlineLevel="0" collapsed="false">
      <c r="A283" s="15" t="s">
        <v>2354</v>
      </c>
      <c r="B283" s="16" t="s">
        <v>121</v>
      </c>
      <c r="C283" s="9" t="s">
        <v>690</v>
      </c>
      <c r="D283" s="9" t="s">
        <v>2307</v>
      </c>
      <c r="E283" s="9" t="s">
        <v>2355</v>
      </c>
      <c r="F283" s="9" t="s">
        <v>2356</v>
      </c>
      <c r="G283" s="9" t="s">
        <v>705</v>
      </c>
      <c r="H283" s="9" t="s">
        <v>106</v>
      </c>
      <c r="I283" s="9" t="s">
        <v>2357</v>
      </c>
      <c r="J283" s="9" t="s">
        <v>106</v>
      </c>
      <c r="K283" s="9" t="s">
        <v>2312</v>
      </c>
      <c r="L283" s="9" t="s">
        <v>2358</v>
      </c>
      <c r="M283" s="9" t="s">
        <v>2359</v>
      </c>
      <c r="N283" s="9" t="s">
        <v>2313</v>
      </c>
      <c r="O283" s="9" t="s">
        <v>2360</v>
      </c>
      <c r="P283" s="9" t="s">
        <v>308</v>
      </c>
      <c r="Q283" s="9" t="s">
        <v>2323</v>
      </c>
      <c r="R283" s="9" t="s">
        <v>2338</v>
      </c>
      <c r="S283" s="9" t="s">
        <v>2317</v>
      </c>
    </row>
    <row r="284" customFormat="false" ht="46.25" hidden="false" customHeight="false" outlineLevel="0" collapsed="false">
      <c r="A284" s="16" t="s">
        <v>2361</v>
      </c>
      <c r="B284" s="16" t="s">
        <v>121</v>
      </c>
      <c r="C284" s="9" t="s">
        <v>690</v>
      </c>
      <c r="D284" s="9" t="s">
        <v>2307</v>
      </c>
      <c r="E284" s="9" t="s">
        <v>2362</v>
      </c>
      <c r="F284" s="9" t="s">
        <v>2363</v>
      </c>
      <c r="G284" s="9" t="s">
        <v>705</v>
      </c>
      <c r="H284" s="9" t="s">
        <v>106</v>
      </c>
      <c r="I284" s="9" t="s">
        <v>106</v>
      </c>
      <c r="J284" s="9" t="s">
        <v>106</v>
      </c>
      <c r="K284" s="9" t="s">
        <v>2312</v>
      </c>
      <c r="L284" s="9" t="s">
        <v>2364</v>
      </c>
      <c r="M284" s="9" t="s">
        <v>2365</v>
      </c>
      <c r="N284" s="9" t="s">
        <v>2313</v>
      </c>
      <c r="O284" s="9" t="s">
        <v>2366</v>
      </c>
      <c r="P284" s="9" t="s">
        <v>904</v>
      </c>
      <c r="Q284" s="9" t="s">
        <v>2323</v>
      </c>
      <c r="R284" s="9" t="s">
        <v>2338</v>
      </c>
      <c r="S284" s="9" t="s">
        <v>2317</v>
      </c>
    </row>
    <row r="285" customFormat="false" ht="46.25" hidden="false" customHeight="false" outlineLevel="0" collapsed="false">
      <c r="A285" s="16" t="s">
        <v>2367</v>
      </c>
      <c r="B285" s="16" t="s">
        <v>121</v>
      </c>
      <c r="C285" s="9" t="s">
        <v>690</v>
      </c>
      <c r="D285" s="9" t="s">
        <v>2311</v>
      </c>
      <c r="E285" s="9" t="s">
        <v>2368</v>
      </c>
      <c r="F285" s="9" t="s">
        <v>2369</v>
      </c>
      <c r="G285" s="9" t="s">
        <v>705</v>
      </c>
      <c r="H285" s="9" t="s">
        <v>106</v>
      </c>
      <c r="I285" s="9" t="s">
        <v>106</v>
      </c>
      <c r="J285" s="9" t="s">
        <v>106</v>
      </c>
      <c r="K285" s="9" t="s">
        <v>2312</v>
      </c>
      <c r="L285" s="9" t="s">
        <v>106</v>
      </c>
      <c r="M285" s="9" t="s">
        <v>2370</v>
      </c>
      <c r="N285" s="9" t="s">
        <v>2313</v>
      </c>
      <c r="O285" s="9" t="s">
        <v>2371</v>
      </c>
      <c r="P285" s="9" t="s">
        <v>729</v>
      </c>
      <c r="Q285" s="9" t="s">
        <v>2372</v>
      </c>
      <c r="R285" s="9" t="s">
        <v>2373</v>
      </c>
      <c r="S285" s="9" t="s">
        <v>2317</v>
      </c>
    </row>
    <row r="286" customFormat="false" ht="46.25" hidden="false" customHeight="false" outlineLevel="0" collapsed="false">
      <c r="A286" s="16" t="s">
        <v>2374</v>
      </c>
      <c r="B286" s="16" t="s">
        <v>121</v>
      </c>
      <c r="C286" s="9" t="s">
        <v>690</v>
      </c>
      <c r="D286" s="9" t="s">
        <v>2375</v>
      </c>
      <c r="E286" s="9" t="s">
        <v>2376</v>
      </c>
      <c r="F286" s="9" t="s">
        <v>2377</v>
      </c>
      <c r="G286" s="9" t="s">
        <v>705</v>
      </c>
      <c r="H286" s="9" t="s">
        <v>106</v>
      </c>
      <c r="I286" s="9" t="s">
        <v>2378</v>
      </c>
      <c r="J286" s="9" t="s">
        <v>106</v>
      </c>
      <c r="K286" s="9" t="s">
        <v>2312</v>
      </c>
      <c r="L286" s="9" t="s">
        <v>106</v>
      </c>
      <c r="M286" s="9" t="s">
        <v>305</v>
      </c>
      <c r="N286" s="9" t="s">
        <v>2313</v>
      </c>
      <c r="O286" s="9" t="s">
        <v>2379</v>
      </c>
      <c r="P286" s="9" t="s">
        <v>308</v>
      </c>
      <c r="Q286" s="9" t="s">
        <v>2323</v>
      </c>
      <c r="R286" s="9" t="s">
        <v>2338</v>
      </c>
      <c r="S286" s="9" t="s">
        <v>2317</v>
      </c>
    </row>
    <row r="287" customFormat="false" ht="46.25" hidden="false" customHeight="false" outlineLevel="0" collapsed="false">
      <c r="A287" s="15" t="s">
        <v>2380</v>
      </c>
      <c r="B287" s="16" t="s">
        <v>121</v>
      </c>
      <c r="C287" s="9" t="s">
        <v>2381</v>
      </c>
      <c r="D287" s="9" t="s">
        <v>2375</v>
      </c>
      <c r="E287" s="9" t="s">
        <v>2382</v>
      </c>
      <c r="F287" s="9" t="s">
        <v>2383</v>
      </c>
      <c r="G287" s="9" t="s">
        <v>1043</v>
      </c>
      <c r="H287" s="9" t="s">
        <v>560</v>
      </c>
      <c r="I287" s="9" t="s">
        <v>2384</v>
      </c>
      <c r="J287" s="9" t="s">
        <v>106</v>
      </c>
      <c r="K287" s="9" t="s">
        <v>2385</v>
      </c>
      <c r="L287" s="9" t="s">
        <v>2386</v>
      </c>
      <c r="M287" s="9" t="s">
        <v>1148</v>
      </c>
      <c r="N287" s="9" t="s">
        <v>2387</v>
      </c>
      <c r="O287" s="9" t="s">
        <v>2388</v>
      </c>
      <c r="P287" s="9" t="s">
        <v>106</v>
      </c>
      <c r="Q287" s="9" t="s">
        <v>2323</v>
      </c>
      <c r="R287" s="9" t="s">
        <v>2338</v>
      </c>
      <c r="S287" s="9" t="s">
        <v>2317</v>
      </c>
    </row>
    <row r="288" customFormat="false" ht="23.85" hidden="false" customHeight="false" outlineLevel="0" collapsed="false">
      <c r="A288" s="16" t="s">
        <v>2389</v>
      </c>
      <c r="B288" s="16" t="s">
        <v>121</v>
      </c>
      <c r="C288" s="9" t="s">
        <v>2390</v>
      </c>
      <c r="D288" s="9" t="s">
        <v>2375</v>
      </c>
      <c r="E288" s="9" t="s">
        <v>2391</v>
      </c>
      <c r="F288" s="9" t="s">
        <v>2392</v>
      </c>
      <c r="G288" s="9" t="s">
        <v>1043</v>
      </c>
      <c r="H288" s="9" t="s">
        <v>560</v>
      </c>
      <c r="I288" s="9" t="s">
        <v>2393</v>
      </c>
      <c r="J288" s="9" t="s">
        <v>106</v>
      </c>
      <c r="K288" s="9" t="s">
        <v>2394</v>
      </c>
      <c r="L288" s="9" t="s">
        <v>1087</v>
      </c>
      <c r="M288" s="9" t="s">
        <v>1148</v>
      </c>
      <c r="N288" s="9" t="s">
        <v>2395</v>
      </c>
      <c r="O288" s="9" t="s">
        <v>2396</v>
      </c>
      <c r="P288" s="9" t="s">
        <v>106</v>
      </c>
      <c r="Q288" s="9" t="s">
        <v>2323</v>
      </c>
      <c r="R288" s="9" t="s">
        <v>2338</v>
      </c>
      <c r="S288" s="9" t="s">
        <v>2317</v>
      </c>
    </row>
    <row r="289" customFormat="false" ht="57.45" hidden="false" customHeight="false" outlineLevel="0" collapsed="false">
      <c r="A289" s="16" t="s">
        <v>2397</v>
      </c>
      <c r="B289" s="16" t="s">
        <v>130</v>
      </c>
      <c r="C289" s="9" t="s">
        <v>690</v>
      </c>
      <c r="D289" s="9" t="s">
        <v>131</v>
      </c>
      <c r="E289" s="9" t="s">
        <v>2398</v>
      </c>
      <c r="F289" s="9" t="s">
        <v>2399</v>
      </c>
      <c r="G289" s="9" t="s">
        <v>705</v>
      </c>
      <c r="H289" s="9" t="s">
        <v>106</v>
      </c>
      <c r="I289" s="9" t="s">
        <v>2400</v>
      </c>
      <c r="J289" s="9" t="s">
        <v>106</v>
      </c>
      <c r="K289" s="9" t="s">
        <v>2401</v>
      </c>
      <c r="L289" s="9" t="s">
        <v>106</v>
      </c>
      <c r="M289" s="9" t="s">
        <v>2402</v>
      </c>
      <c r="N289" s="9" t="s">
        <v>2403</v>
      </c>
      <c r="O289" s="9" t="s">
        <v>2404</v>
      </c>
      <c r="P289" s="9" t="s">
        <v>308</v>
      </c>
      <c r="Q289" s="9" t="s">
        <v>2405</v>
      </c>
      <c r="R289" s="9" t="s">
        <v>2406</v>
      </c>
      <c r="S289" s="9" t="s">
        <v>2407</v>
      </c>
    </row>
    <row r="290" customFormat="false" ht="57.45" hidden="false" customHeight="false" outlineLevel="0" collapsed="false">
      <c r="A290" s="16" t="s">
        <v>2408</v>
      </c>
      <c r="B290" s="16" t="s">
        <v>130</v>
      </c>
      <c r="C290" s="9" t="s">
        <v>690</v>
      </c>
      <c r="D290" s="9" t="s">
        <v>131</v>
      </c>
      <c r="E290" s="9" t="s">
        <v>2409</v>
      </c>
      <c r="F290" s="9" t="s">
        <v>2410</v>
      </c>
      <c r="G290" s="9" t="s">
        <v>705</v>
      </c>
      <c r="H290" s="9" t="s">
        <v>106</v>
      </c>
      <c r="I290" s="9" t="s">
        <v>2411</v>
      </c>
      <c r="J290" s="9" t="s">
        <v>2412</v>
      </c>
      <c r="K290" s="9" t="s">
        <v>2401</v>
      </c>
      <c r="L290" s="9" t="s">
        <v>106</v>
      </c>
      <c r="M290" s="9" t="s">
        <v>2413</v>
      </c>
      <c r="N290" s="9" t="s">
        <v>2403</v>
      </c>
      <c r="O290" s="9" t="s">
        <v>2414</v>
      </c>
      <c r="P290" s="9" t="s">
        <v>1098</v>
      </c>
      <c r="Q290" s="9" t="s">
        <v>2405</v>
      </c>
      <c r="R290" s="9" t="s">
        <v>2415</v>
      </c>
      <c r="S290" s="9" t="s">
        <v>2407</v>
      </c>
    </row>
    <row r="291" customFormat="false" ht="57.45" hidden="false" customHeight="false" outlineLevel="0" collapsed="false">
      <c r="A291" s="16" t="s">
        <v>2416</v>
      </c>
      <c r="B291" s="16" t="s">
        <v>130</v>
      </c>
      <c r="C291" s="9" t="s">
        <v>690</v>
      </c>
      <c r="D291" s="9" t="s">
        <v>131</v>
      </c>
      <c r="E291" s="9" t="s">
        <v>2417</v>
      </c>
      <c r="F291" s="9" t="s">
        <v>2418</v>
      </c>
      <c r="G291" s="9" t="s">
        <v>705</v>
      </c>
      <c r="H291" s="9" t="s">
        <v>106</v>
      </c>
      <c r="I291" s="9" t="s">
        <v>2419</v>
      </c>
      <c r="J291" s="9" t="s">
        <v>106</v>
      </c>
      <c r="K291" s="9" t="s">
        <v>2401</v>
      </c>
      <c r="L291" s="9" t="s">
        <v>106</v>
      </c>
      <c r="M291" s="9" t="s">
        <v>2120</v>
      </c>
      <c r="N291" s="9" t="s">
        <v>2403</v>
      </c>
      <c r="O291" s="9" t="s">
        <v>2420</v>
      </c>
      <c r="P291" s="9" t="s">
        <v>308</v>
      </c>
      <c r="Q291" s="9" t="s">
        <v>2421</v>
      </c>
      <c r="R291" s="9" t="s">
        <v>106</v>
      </c>
      <c r="S291" s="9" t="s">
        <v>2407</v>
      </c>
    </row>
    <row r="292" customFormat="false" ht="57.45" hidden="false" customHeight="false" outlineLevel="0" collapsed="false">
      <c r="A292" s="16" t="s">
        <v>2422</v>
      </c>
      <c r="B292" s="16" t="s">
        <v>130</v>
      </c>
      <c r="C292" s="9" t="s">
        <v>690</v>
      </c>
      <c r="D292" s="9" t="s">
        <v>131</v>
      </c>
      <c r="E292" s="9" t="s">
        <v>2423</v>
      </c>
      <c r="F292" s="9" t="s">
        <v>2424</v>
      </c>
      <c r="G292" s="9" t="s">
        <v>705</v>
      </c>
      <c r="H292" s="9" t="s">
        <v>106</v>
      </c>
      <c r="I292" s="9" t="s">
        <v>2425</v>
      </c>
      <c r="J292" s="9" t="s">
        <v>106</v>
      </c>
      <c r="K292" s="9" t="s">
        <v>2401</v>
      </c>
      <c r="L292" s="9" t="s">
        <v>106</v>
      </c>
      <c r="M292" s="9" t="s">
        <v>2426</v>
      </c>
      <c r="N292" s="9" t="s">
        <v>2403</v>
      </c>
      <c r="O292" s="9" t="s">
        <v>2427</v>
      </c>
      <c r="P292" s="9" t="s">
        <v>1098</v>
      </c>
      <c r="Q292" s="9" t="s">
        <v>2421</v>
      </c>
      <c r="R292" s="9" t="s">
        <v>2406</v>
      </c>
      <c r="S292" s="9" t="s">
        <v>2407</v>
      </c>
    </row>
    <row r="293" customFormat="false" ht="57.45" hidden="false" customHeight="false" outlineLevel="0" collapsed="false">
      <c r="A293" s="16" t="s">
        <v>2428</v>
      </c>
      <c r="B293" s="16" t="s">
        <v>130</v>
      </c>
      <c r="C293" s="9" t="s">
        <v>690</v>
      </c>
      <c r="D293" s="9" t="s">
        <v>131</v>
      </c>
      <c r="E293" s="9" t="s">
        <v>2429</v>
      </c>
      <c r="F293" s="9" t="s">
        <v>2430</v>
      </c>
      <c r="G293" s="9" t="s">
        <v>705</v>
      </c>
      <c r="H293" s="9" t="s">
        <v>106</v>
      </c>
      <c r="I293" s="9" t="s">
        <v>106</v>
      </c>
      <c r="J293" s="9" t="s">
        <v>106</v>
      </c>
      <c r="K293" s="9" t="s">
        <v>2401</v>
      </c>
      <c r="L293" s="9" t="s">
        <v>106</v>
      </c>
      <c r="M293" s="9" t="s">
        <v>2431</v>
      </c>
      <c r="N293" s="9" t="s">
        <v>2403</v>
      </c>
      <c r="O293" s="9" t="s">
        <v>2432</v>
      </c>
      <c r="P293" s="9" t="s">
        <v>308</v>
      </c>
      <c r="Q293" s="9" t="s">
        <v>2421</v>
      </c>
      <c r="R293" s="9" t="s">
        <v>106</v>
      </c>
      <c r="S293" s="9" t="s">
        <v>2407</v>
      </c>
    </row>
    <row r="294" customFormat="false" ht="57.45" hidden="false" customHeight="false" outlineLevel="0" collapsed="false">
      <c r="A294" s="15" t="s">
        <v>2433</v>
      </c>
      <c r="B294" s="16" t="s">
        <v>130</v>
      </c>
      <c r="C294" s="9" t="s">
        <v>690</v>
      </c>
      <c r="D294" s="9" t="s">
        <v>131</v>
      </c>
      <c r="E294" s="9" t="s">
        <v>2434</v>
      </c>
      <c r="F294" s="9" t="s">
        <v>2435</v>
      </c>
      <c r="G294" s="9" t="s">
        <v>705</v>
      </c>
      <c r="H294" s="9" t="s">
        <v>106</v>
      </c>
      <c r="I294" s="9" t="s">
        <v>106</v>
      </c>
      <c r="J294" s="9" t="s">
        <v>106</v>
      </c>
      <c r="K294" s="9" t="s">
        <v>2401</v>
      </c>
      <c r="L294" s="9" t="s">
        <v>106</v>
      </c>
      <c r="M294" s="9" t="s">
        <v>2436</v>
      </c>
      <c r="N294" s="9" t="s">
        <v>2403</v>
      </c>
      <c r="O294" s="9" t="s">
        <v>2437</v>
      </c>
      <c r="P294" s="9" t="s">
        <v>2438</v>
      </c>
      <c r="Q294" s="9" t="s">
        <v>2439</v>
      </c>
      <c r="R294" s="9" t="s">
        <v>106</v>
      </c>
      <c r="S294" s="9" t="s">
        <v>2407</v>
      </c>
    </row>
    <row r="295" customFormat="false" ht="57.45" hidden="false" customHeight="false" outlineLevel="0" collapsed="false">
      <c r="A295" s="15" t="s">
        <v>2440</v>
      </c>
      <c r="B295" s="16" t="s">
        <v>130</v>
      </c>
      <c r="C295" s="9" t="s">
        <v>690</v>
      </c>
      <c r="D295" s="9" t="s">
        <v>131</v>
      </c>
      <c r="E295" s="9" t="s">
        <v>2441</v>
      </c>
      <c r="F295" s="9" t="s">
        <v>2442</v>
      </c>
      <c r="G295" s="9" t="s">
        <v>705</v>
      </c>
      <c r="H295" s="9" t="s">
        <v>106</v>
      </c>
      <c r="I295" s="9" t="s">
        <v>106</v>
      </c>
      <c r="J295" s="9" t="s">
        <v>106</v>
      </c>
      <c r="K295" s="9" t="s">
        <v>2401</v>
      </c>
      <c r="L295" s="9" t="s">
        <v>2443</v>
      </c>
      <c r="M295" s="9" t="s">
        <v>2444</v>
      </c>
      <c r="N295" s="9" t="s">
        <v>2403</v>
      </c>
      <c r="O295" s="9" t="s">
        <v>2445</v>
      </c>
      <c r="P295" s="9" t="s">
        <v>106</v>
      </c>
      <c r="Q295" s="9" t="s">
        <v>2421</v>
      </c>
      <c r="R295" s="9" t="s">
        <v>106</v>
      </c>
      <c r="S295" s="9" t="s">
        <v>2407</v>
      </c>
    </row>
    <row r="296" customFormat="false" ht="57.45" hidden="false" customHeight="false" outlineLevel="0" collapsed="false">
      <c r="A296" s="15" t="s">
        <v>2446</v>
      </c>
      <c r="B296" s="16" t="s">
        <v>130</v>
      </c>
      <c r="C296" s="9" t="s">
        <v>690</v>
      </c>
      <c r="D296" s="9" t="s">
        <v>131</v>
      </c>
      <c r="E296" s="9" t="s">
        <v>2447</v>
      </c>
      <c r="F296" s="9" t="s">
        <v>2448</v>
      </c>
      <c r="G296" s="9" t="s">
        <v>293</v>
      </c>
      <c r="H296" s="9" t="s">
        <v>106</v>
      </c>
      <c r="I296" s="9" t="s">
        <v>2449</v>
      </c>
      <c r="J296" s="9" t="s">
        <v>106</v>
      </c>
      <c r="K296" s="9" t="s">
        <v>2401</v>
      </c>
      <c r="L296" s="9" t="s">
        <v>106</v>
      </c>
      <c r="M296" s="9" t="s">
        <v>2450</v>
      </c>
      <c r="N296" s="9" t="s">
        <v>2403</v>
      </c>
      <c r="O296" s="9" t="s">
        <v>2451</v>
      </c>
      <c r="P296" s="9" t="s">
        <v>106</v>
      </c>
      <c r="Q296" s="9" t="s">
        <v>2452</v>
      </c>
      <c r="R296" s="9" t="s">
        <v>106</v>
      </c>
      <c r="S296" s="9" t="s">
        <v>2407</v>
      </c>
    </row>
    <row r="297" customFormat="false" ht="68.65" hidden="false" customHeight="false" outlineLevel="0" collapsed="false">
      <c r="A297" s="16" t="s">
        <v>2453</v>
      </c>
      <c r="B297" s="16" t="s">
        <v>130</v>
      </c>
      <c r="C297" s="9" t="s">
        <v>2454</v>
      </c>
      <c r="D297" s="9" t="s">
        <v>131</v>
      </c>
      <c r="E297" s="9" t="s">
        <v>2455</v>
      </c>
      <c r="F297" s="9" t="s">
        <v>2456</v>
      </c>
      <c r="G297" s="9" t="s">
        <v>581</v>
      </c>
      <c r="H297" s="9" t="s">
        <v>560</v>
      </c>
      <c r="I297" s="9" t="s">
        <v>2457</v>
      </c>
      <c r="J297" s="9" t="s">
        <v>2458</v>
      </c>
      <c r="K297" s="9" t="s">
        <v>2401</v>
      </c>
      <c r="L297" s="9" t="s">
        <v>2459</v>
      </c>
      <c r="M297" s="9" t="s">
        <v>2413</v>
      </c>
      <c r="N297" s="9" t="s">
        <v>2460</v>
      </c>
      <c r="O297" s="9" t="s">
        <v>2461</v>
      </c>
      <c r="P297" s="9" t="s">
        <v>1098</v>
      </c>
      <c r="Q297" s="9" t="s">
        <v>2405</v>
      </c>
      <c r="R297" s="9" t="s">
        <v>2415</v>
      </c>
      <c r="S297" s="9" t="s">
        <v>2407</v>
      </c>
    </row>
    <row r="298" customFormat="false" ht="57.45" hidden="false" customHeight="false" outlineLevel="0" collapsed="false">
      <c r="A298" s="15" t="s">
        <v>2462</v>
      </c>
      <c r="B298" s="16" t="s">
        <v>130</v>
      </c>
      <c r="C298" s="9" t="s">
        <v>2454</v>
      </c>
      <c r="D298" s="9" t="s">
        <v>131</v>
      </c>
      <c r="E298" s="9" t="s">
        <v>2463</v>
      </c>
      <c r="F298" s="9" t="s">
        <v>2464</v>
      </c>
      <c r="G298" s="9" t="s">
        <v>655</v>
      </c>
      <c r="H298" s="9" t="s">
        <v>560</v>
      </c>
      <c r="I298" s="9" t="s">
        <v>2419</v>
      </c>
      <c r="J298" s="9" t="s">
        <v>106</v>
      </c>
      <c r="K298" s="9" t="s">
        <v>2401</v>
      </c>
      <c r="L298" s="9" t="s">
        <v>106</v>
      </c>
      <c r="M298" s="9" t="s">
        <v>2120</v>
      </c>
      <c r="N298" s="9" t="s">
        <v>2460</v>
      </c>
      <c r="O298" s="9" t="s">
        <v>2420</v>
      </c>
      <c r="P298" s="9" t="s">
        <v>308</v>
      </c>
      <c r="Q298" s="9" t="s">
        <v>2421</v>
      </c>
      <c r="R298" s="9" t="s">
        <v>106</v>
      </c>
      <c r="S298" s="9" t="s">
        <v>2407</v>
      </c>
    </row>
    <row r="299" customFormat="false" ht="57.45" hidden="false" customHeight="false" outlineLevel="0" collapsed="false">
      <c r="A299" s="16" t="s">
        <v>2465</v>
      </c>
      <c r="B299" s="16" t="s">
        <v>130</v>
      </c>
      <c r="C299" s="9" t="s">
        <v>2454</v>
      </c>
      <c r="D299" s="9" t="s">
        <v>131</v>
      </c>
      <c r="E299" s="9" t="s">
        <v>2466</v>
      </c>
      <c r="F299" s="9" t="s">
        <v>2467</v>
      </c>
      <c r="G299" s="9" t="s">
        <v>965</v>
      </c>
      <c r="H299" s="9" t="s">
        <v>106</v>
      </c>
      <c r="I299" s="9" t="s">
        <v>2468</v>
      </c>
      <c r="J299" s="9" t="s">
        <v>106</v>
      </c>
      <c r="K299" s="9" t="s">
        <v>2401</v>
      </c>
      <c r="L299" s="9" t="s">
        <v>106</v>
      </c>
      <c r="M299" s="9" t="s">
        <v>2431</v>
      </c>
      <c r="N299" s="9" t="s">
        <v>2460</v>
      </c>
      <c r="O299" s="9" t="s">
        <v>2432</v>
      </c>
      <c r="P299" s="9" t="s">
        <v>308</v>
      </c>
      <c r="Q299" s="9" t="s">
        <v>2421</v>
      </c>
      <c r="R299" s="9" t="s">
        <v>106</v>
      </c>
      <c r="S299" s="9" t="s">
        <v>2407</v>
      </c>
    </row>
    <row r="300" customFormat="false" ht="46.25" hidden="false" customHeight="false" outlineLevel="0" collapsed="false">
      <c r="A300" s="16" t="s">
        <v>2469</v>
      </c>
      <c r="B300" s="16" t="s">
        <v>139</v>
      </c>
      <c r="C300" s="9" t="s">
        <v>2470</v>
      </c>
      <c r="D300" s="9" t="s">
        <v>2471</v>
      </c>
      <c r="E300" s="9" t="s">
        <v>888</v>
      </c>
      <c r="F300" s="9" t="s">
        <v>2472</v>
      </c>
      <c r="G300" s="9" t="s">
        <v>705</v>
      </c>
      <c r="H300" s="9" t="s">
        <v>106</v>
      </c>
      <c r="I300" s="9" t="s">
        <v>106</v>
      </c>
      <c r="J300" s="9" t="s">
        <v>106</v>
      </c>
      <c r="K300" s="9" t="s">
        <v>873</v>
      </c>
      <c r="L300" s="9" t="s">
        <v>106</v>
      </c>
      <c r="M300" s="9" t="s">
        <v>2473</v>
      </c>
      <c r="N300" s="9" t="s">
        <v>2474</v>
      </c>
      <c r="O300" s="9" t="s">
        <v>2475</v>
      </c>
      <c r="P300" s="9" t="s">
        <v>308</v>
      </c>
      <c r="Q300" s="9" t="s">
        <v>2476</v>
      </c>
      <c r="R300" s="9" t="s">
        <v>2477</v>
      </c>
      <c r="S300" s="9" t="s">
        <v>2478</v>
      </c>
    </row>
    <row r="301" customFormat="false" ht="46.25" hidden="false" customHeight="false" outlineLevel="0" collapsed="false">
      <c r="A301" s="16" t="s">
        <v>2479</v>
      </c>
      <c r="B301" s="16" t="s">
        <v>139</v>
      </c>
      <c r="C301" s="9" t="s">
        <v>2470</v>
      </c>
      <c r="D301" s="9" t="s">
        <v>2471</v>
      </c>
      <c r="E301" s="9" t="s">
        <v>27</v>
      </c>
      <c r="F301" s="9" t="s">
        <v>2480</v>
      </c>
      <c r="G301" s="9" t="s">
        <v>27</v>
      </c>
      <c r="H301" s="9" t="s">
        <v>106</v>
      </c>
      <c r="I301" s="9" t="s">
        <v>2481</v>
      </c>
      <c r="J301" s="9" t="s">
        <v>106</v>
      </c>
      <c r="K301" s="9" t="s">
        <v>873</v>
      </c>
      <c r="L301" s="9" t="s">
        <v>106</v>
      </c>
      <c r="M301" s="9" t="s">
        <v>1561</v>
      </c>
      <c r="N301" s="9" t="s">
        <v>2474</v>
      </c>
      <c r="O301" s="9" t="s">
        <v>2482</v>
      </c>
      <c r="P301" s="9" t="s">
        <v>308</v>
      </c>
      <c r="Q301" s="9" t="s">
        <v>2476</v>
      </c>
      <c r="R301" s="9" t="s">
        <v>2477</v>
      </c>
      <c r="S301" s="9" t="s">
        <v>2478</v>
      </c>
    </row>
    <row r="302" customFormat="false" ht="46.25" hidden="false" customHeight="false" outlineLevel="0" collapsed="false">
      <c r="A302" s="16" t="s">
        <v>2483</v>
      </c>
      <c r="B302" s="16" t="s">
        <v>139</v>
      </c>
      <c r="C302" s="9" t="s">
        <v>2470</v>
      </c>
      <c r="D302" s="9" t="s">
        <v>2471</v>
      </c>
      <c r="E302" s="9" t="s">
        <v>2484</v>
      </c>
      <c r="F302" s="9" t="s">
        <v>2485</v>
      </c>
      <c r="G302" s="9" t="s">
        <v>705</v>
      </c>
      <c r="H302" s="9" t="s">
        <v>106</v>
      </c>
      <c r="I302" s="9" t="s">
        <v>2486</v>
      </c>
      <c r="J302" s="9" t="s">
        <v>106</v>
      </c>
      <c r="K302" s="9" t="s">
        <v>873</v>
      </c>
      <c r="L302" s="9" t="s">
        <v>106</v>
      </c>
      <c r="M302" s="9" t="s">
        <v>2487</v>
      </c>
      <c r="N302" s="9" t="s">
        <v>2474</v>
      </c>
      <c r="O302" s="9" t="s">
        <v>2488</v>
      </c>
      <c r="P302" s="9" t="s">
        <v>308</v>
      </c>
      <c r="Q302" s="9" t="s">
        <v>2476</v>
      </c>
      <c r="R302" s="9" t="s">
        <v>106</v>
      </c>
      <c r="S302" s="9" t="s">
        <v>2478</v>
      </c>
    </row>
    <row r="303" customFormat="false" ht="46.25" hidden="false" customHeight="false" outlineLevel="0" collapsed="false">
      <c r="A303" s="16" t="s">
        <v>2489</v>
      </c>
      <c r="B303" s="16" t="s">
        <v>139</v>
      </c>
      <c r="C303" s="9" t="s">
        <v>2470</v>
      </c>
      <c r="D303" s="9" t="s">
        <v>2471</v>
      </c>
      <c r="E303" s="9" t="s">
        <v>2490</v>
      </c>
      <c r="F303" s="9" t="s">
        <v>2491</v>
      </c>
      <c r="G303" s="9" t="s">
        <v>705</v>
      </c>
      <c r="H303" s="9" t="s">
        <v>106</v>
      </c>
      <c r="I303" s="9" t="s">
        <v>2492</v>
      </c>
      <c r="J303" s="9" t="s">
        <v>106</v>
      </c>
      <c r="K303" s="9" t="s">
        <v>873</v>
      </c>
      <c r="L303" s="9" t="s">
        <v>106</v>
      </c>
      <c r="M303" s="9" t="s">
        <v>2493</v>
      </c>
      <c r="N303" s="9" t="s">
        <v>2474</v>
      </c>
      <c r="O303" s="9" t="s">
        <v>2494</v>
      </c>
      <c r="P303" s="9" t="s">
        <v>308</v>
      </c>
      <c r="Q303" s="9" t="s">
        <v>2476</v>
      </c>
      <c r="R303" s="9" t="s">
        <v>106</v>
      </c>
      <c r="S303" s="9" t="s">
        <v>2478</v>
      </c>
    </row>
    <row r="304" customFormat="false" ht="46.25" hidden="false" customHeight="false" outlineLevel="0" collapsed="false">
      <c r="A304" s="16" t="s">
        <v>2495</v>
      </c>
      <c r="B304" s="16" t="s">
        <v>139</v>
      </c>
      <c r="C304" s="9" t="s">
        <v>2470</v>
      </c>
      <c r="D304" s="9" t="s">
        <v>2471</v>
      </c>
      <c r="E304" s="9" t="s">
        <v>2496</v>
      </c>
      <c r="F304" s="9" t="s">
        <v>2497</v>
      </c>
      <c r="G304" s="9" t="s">
        <v>705</v>
      </c>
      <c r="H304" s="9" t="s">
        <v>106</v>
      </c>
      <c r="I304" s="9" t="s">
        <v>2498</v>
      </c>
      <c r="J304" s="9" t="s">
        <v>2499</v>
      </c>
      <c r="K304" s="9" t="s">
        <v>873</v>
      </c>
      <c r="L304" s="9" t="s">
        <v>106</v>
      </c>
      <c r="M304" s="9" t="s">
        <v>2500</v>
      </c>
      <c r="N304" s="9" t="s">
        <v>2474</v>
      </c>
      <c r="O304" s="9" t="s">
        <v>2501</v>
      </c>
      <c r="P304" s="9" t="s">
        <v>2502</v>
      </c>
      <c r="Q304" s="9" t="s">
        <v>2503</v>
      </c>
      <c r="R304" s="9" t="s">
        <v>2504</v>
      </c>
      <c r="S304" s="9" t="s">
        <v>2478</v>
      </c>
    </row>
    <row r="305" customFormat="false" ht="46.25" hidden="false" customHeight="false" outlineLevel="0" collapsed="false">
      <c r="A305" s="16" t="s">
        <v>2505</v>
      </c>
      <c r="B305" s="16" t="s">
        <v>139</v>
      </c>
      <c r="C305" s="9" t="s">
        <v>2470</v>
      </c>
      <c r="D305" s="9" t="s">
        <v>2471</v>
      </c>
      <c r="E305" s="9" t="s">
        <v>2506</v>
      </c>
      <c r="F305" s="9" t="s">
        <v>2507</v>
      </c>
      <c r="G305" s="9" t="s">
        <v>705</v>
      </c>
      <c r="H305" s="9" t="s">
        <v>106</v>
      </c>
      <c r="I305" s="9" t="s">
        <v>2508</v>
      </c>
      <c r="J305" s="9" t="s">
        <v>106</v>
      </c>
      <c r="K305" s="9" t="s">
        <v>873</v>
      </c>
      <c r="L305" s="9" t="s">
        <v>106</v>
      </c>
      <c r="M305" s="9" t="s">
        <v>2509</v>
      </c>
      <c r="N305" s="9" t="s">
        <v>2474</v>
      </c>
      <c r="O305" s="9" t="s">
        <v>2510</v>
      </c>
      <c r="P305" s="9" t="s">
        <v>401</v>
      </c>
      <c r="Q305" s="9" t="s">
        <v>2511</v>
      </c>
      <c r="R305" s="9" t="s">
        <v>106</v>
      </c>
      <c r="S305" s="9" t="s">
        <v>2478</v>
      </c>
    </row>
    <row r="306" customFormat="false" ht="46.25" hidden="false" customHeight="false" outlineLevel="0" collapsed="false">
      <c r="A306" s="15" t="s">
        <v>2512</v>
      </c>
      <c r="B306" s="16" t="s">
        <v>139</v>
      </c>
      <c r="C306" s="9" t="s">
        <v>2470</v>
      </c>
      <c r="D306" s="9" t="s">
        <v>2471</v>
      </c>
      <c r="E306" s="9" t="s">
        <v>2513</v>
      </c>
      <c r="F306" s="9" t="s">
        <v>2514</v>
      </c>
      <c r="G306" s="9" t="s">
        <v>705</v>
      </c>
      <c r="H306" s="9" t="s">
        <v>106</v>
      </c>
      <c r="I306" s="9" t="s">
        <v>106</v>
      </c>
      <c r="J306" s="9" t="s">
        <v>106</v>
      </c>
      <c r="K306" s="9" t="s">
        <v>873</v>
      </c>
      <c r="L306" s="9" t="s">
        <v>106</v>
      </c>
      <c r="M306" s="9" t="s">
        <v>2515</v>
      </c>
      <c r="N306" s="9" t="s">
        <v>2474</v>
      </c>
      <c r="O306" s="9" t="s">
        <v>2516</v>
      </c>
      <c r="P306" s="9" t="s">
        <v>401</v>
      </c>
      <c r="Q306" s="9" t="s">
        <v>622</v>
      </c>
      <c r="R306" s="9" t="s">
        <v>106</v>
      </c>
      <c r="S306" s="9" t="s">
        <v>2478</v>
      </c>
    </row>
    <row r="307" customFormat="false" ht="46.25" hidden="false" customHeight="false" outlineLevel="0" collapsed="false">
      <c r="A307" s="16" t="s">
        <v>2517</v>
      </c>
      <c r="B307" s="16" t="s">
        <v>139</v>
      </c>
      <c r="C307" s="9" t="s">
        <v>2470</v>
      </c>
      <c r="D307" s="9" t="s">
        <v>2471</v>
      </c>
      <c r="E307" s="9" t="s">
        <v>2518</v>
      </c>
      <c r="F307" s="9" t="s">
        <v>2519</v>
      </c>
      <c r="G307" s="9" t="s">
        <v>705</v>
      </c>
      <c r="H307" s="9" t="s">
        <v>106</v>
      </c>
      <c r="I307" s="9" t="s">
        <v>106</v>
      </c>
      <c r="J307" s="9" t="s">
        <v>106</v>
      </c>
      <c r="K307" s="9" t="s">
        <v>873</v>
      </c>
      <c r="L307" s="9" t="s">
        <v>106</v>
      </c>
      <c r="M307" s="9" t="s">
        <v>2520</v>
      </c>
      <c r="N307" s="9" t="s">
        <v>2474</v>
      </c>
      <c r="O307" s="9" t="s">
        <v>2521</v>
      </c>
      <c r="P307" s="9" t="s">
        <v>106</v>
      </c>
      <c r="Q307" s="9" t="s">
        <v>2476</v>
      </c>
      <c r="R307" s="9" t="s">
        <v>2477</v>
      </c>
      <c r="S307" s="9" t="s">
        <v>2478</v>
      </c>
    </row>
    <row r="308" customFormat="false" ht="46.25" hidden="false" customHeight="false" outlineLevel="0" collapsed="false">
      <c r="A308" s="16" t="s">
        <v>2522</v>
      </c>
      <c r="B308" s="16" t="s">
        <v>139</v>
      </c>
      <c r="C308" s="9" t="s">
        <v>2470</v>
      </c>
      <c r="D308" s="9" t="s">
        <v>2471</v>
      </c>
      <c r="E308" s="9" t="s">
        <v>1820</v>
      </c>
      <c r="F308" s="9" t="s">
        <v>2523</v>
      </c>
      <c r="G308" s="9" t="s">
        <v>705</v>
      </c>
      <c r="H308" s="9" t="s">
        <v>106</v>
      </c>
      <c r="I308" s="9" t="s">
        <v>2524</v>
      </c>
      <c r="J308" s="9" t="s">
        <v>106</v>
      </c>
      <c r="K308" s="9" t="s">
        <v>873</v>
      </c>
      <c r="L308" s="9" t="s">
        <v>2525</v>
      </c>
      <c r="M308" s="9" t="s">
        <v>1739</v>
      </c>
      <c r="N308" s="9" t="s">
        <v>2526</v>
      </c>
      <c r="O308" s="9" t="s">
        <v>2527</v>
      </c>
      <c r="P308" s="9" t="s">
        <v>401</v>
      </c>
      <c r="Q308" s="9" t="s">
        <v>2476</v>
      </c>
      <c r="R308" s="9" t="s">
        <v>2477</v>
      </c>
      <c r="S308" s="9" t="s">
        <v>2478</v>
      </c>
    </row>
    <row r="309" customFormat="false" ht="46.25" hidden="false" customHeight="false" outlineLevel="0" collapsed="false">
      <c r="A309" s="16" t="s">
        <v>2528</v>
      </c>
      <c r="B309" s="16" t="s">
        <v>139</v>
      </c>
      <c r="C309" s="9" t="s">
        <v>2529</v>
      </c>
      <c r="D309" s="9" t="s">
        <v>2471</v>
      </c>
      <c r="E309" s="9" t="s">
        <v>2530</v>
      </c>
      <c r="F309" s="9" t="s">
        <v>2531</v>
      </c>
      <c r="G309" s="9" t="s">
        <v>581</v>
      </c>
      <c r="H309" s="9" t="s">
        <v>560</v>
      </c>
      <c r="I309" s="9" t="s">
        <v>2532</v>
      </c>
      <c r="J309" s="9" t="s">
        <v>2499</v>
      </c>
      <c r="K309" s="9" t="s">
        <v>873</v>
      </c>
      <c r="L309" s="9" t="s">
        <v>2533</v>
      </c>
      <c r="M309" s="9" t="s">
        <v>2500</v>
      </c>
      <c r="N309" s="9" t="s">
        <v>2534</v>
      </c>
      <c r="O309" s="9" t="s">
        <v>2535</v>
      </c>
      <c r="P309" s="9" t="s">
        <v>2502</v>
      </c>
      <c r="Q309" s="9" t="s">
        <v>2476</v>
      </c>
      <c r="R309" s="9" t="s">
        <v>2536</v>
      </c>
      <c r="S309" s="9" t="s">
        <v>2478</v>
      </c>
    </row>
    <row r="310" customFormat="false" ht="46.25" hidden="false" customHeight="false" outlineLevel="0" collapsed="false">
      <c r="A310" s="15" t="s">
        <v>2537</v>
      </c>
      <c r="B310" s="16" t="s">
        <v>139</v>
      </c>
      <c r="C310" s="9" t="s">
        <v>2538</v>
      </c>
      <c r="D310" s="9" t="s">
        <v>2471</v>
      </c>
      <c r="E310" s="9" t="s">
        <v>2539</v>
      </c>
      <c r="F310" s="9" t="s">
        <v>2540</v>
      </c>
      <c r="G310" s="9" t="s">
        <v>965</v>
      </c>
      <c r="H310" s="9" t="s">
        <v>560</v>
      </c>
      <c r="I310" s="9" t="s">
        <v>2541</v>
      </c>
      <c r="J310" s="9" t="s">
        <v>106</v>
      </c>
      <c r="K310" s="9" t="s">
        <v>873</v>
      </c>
      <c r="L310" s="9" t="s">
        <v>106</v>
      </c>
      <c r="M310" s="9" t="s">
        <v>2473</v>
      </c>
      <c r="N310" s="9" t="s">
        <v>2542</v>
      </c>
      <c r="O310" s="9" t="s">
        <v>2543</v>
      </c>
      <c r="P310" s="9" t="s">
        <v>308</v>
      </c>
      <c r="Q310" s="9" t="s">
        <v>2476</v>
      </c>
      <c r="R310" s="9" t="s">
        <v>2544</v>
      </c>
      <c r="S310" s="9" t="s">
        <v>2478</v>
      </c>
    </row>
    <row r="311" customFormat="false" ht="46.25" hidden="false" customHeight="false" outlineLevel="0" collapsed="false">
      <c r="A311" s="16" t="s">
        <v>2545</v>
      </c>
      <c r="B311" s="16" t="s">
        <v>139</v>
      </c>
      <c r="C311" s="9" t="s">
        <v>2546</v>
      </c>
      <c r="D311" s="9" t="s">
        <v>2547</v>
      </c>
      <c r="E311" s="9" t="s">
        <v>2548</v>
      </c>
      <c r="F311" s="9" t="s">
        <v>2549</v>
      </c>
      <c r="G311" s="9" t="s">
        <v>705</v>
      </c>
      <c r="H311" s="9" t="s">
        <v>106</v>
      </c>
      <c r="I311" s="9" t="s">
        <v>106</v>
      </c>
      <c r="J311" s="9" t="s">
        <v>106</v>
      </c>
      <c r="K311" s="9" t="s">
        <v>873</v>
      </c>
      <c r="L311" s="9" t="s">
        <v>106</v>
      </c>
      <c r="M311" s="9" t="s">
        <v>2550</v>
      </c>
      <c r="N311" s="9" t="s">
        <v>2551</v>
      </c>
      <c r="O311" s="9" t="s">
        <v>1562</v>
      </c>
      <c r="P311" s="9" t="s">
        <v>1563</v>
      </c>
      <c r="Q311" s="9" t="s">
        <v>2552</v>
      </c>
      <c r="R311" s="9" t="s">
        <v>2553</v>
      </c>
      <c r="S311" s="9" t="s">
        <v>2478</v>
      </c>
    </row>
    <row r="312" customFormat="false" ht="46.25" hidden="false" customHeight="false" outlineLevel="0" collapsed="false">
      <c r="A312" s="15" t="s">
        <v>2554</v>
      </c>
      <c r="B312" s="16" t="s">
        <v>139</v>
      </c>
      <c r="C312" s="9" t="s">
        <v>2546</v>
      </c>
      <c r="D312" s="9" t="s">
        <v>2547</v>
      </c>
      <c r="E312" s="9" t="s">
        <v>2555</v>
      </c>
      <c r="F312" s="9" t="s">
        <v>2556</v>
      </c>
      <c r="G312" s="9" t="s">
        <v>1638</v>
      </c>
      <c r="H312" s="9" t="s">
        <v>106</v>
      </c>
      <c r="I312" s="9" t="s">
        <v>2557</v>
      </c>
      <c r="J312" s="9" t="s">
        <v>2558</v>
      </c>
      <c r="K312" s="9" t="s">
        <v>873</v>
      </c>
      <c r="L312" s="9" t="s">
        <v>106</v>
      </c>
      <c r="M312" s="9" t="s">
        <v>2559</v>
      </c>
      <c r="N312" s="9" t="s">
        <v>2560</v>
      </c>
      <c r="O312" s="9" t="s">
        <v>2561</v>
      </c>
      <c r="P312" s="9" t="s">
        <v>1634</v>
      </c>
      <c r="Q312" s="9" t="s">
        <v>2552</v>
      </c>
      <c r="R312" s="9" t="s">
        <v>2553</v>
      </c>
      <c r="S312" s="9" t="s">
        <v>2478</v>
      </c>
    </row>
    <row r="313" customFormat="false" ht="46.25" hidden="false" customHeight="false" outlineLevel="0" collapsed="false">
      <c r="A313" s="16" t="s">
        <v>2562</v>
      </c>
      <c r="B313" s="16" t="s">
        <v>139</v>
      </c>
      <c r="C313" s="9" t="s">
        <v>2563</v>
      </c>
      <c r="D313" s="9" t="s">
        <v>2564</v>
      </c>
      <c r="E313" s="9" t="s">
        <v>2565</v>
      </c>
      <c r="F313" s="9" t="s">
        <v>2566</v>
      </c>
      <c r="G313" s="9" t="s">
        <v>705</v>
      </c>
      <c r="H313" s="9" t="s">
        <v>106</v>
      </c>
      <c r="I313" s="9" t="s">
        <v>2567</v>
      </c>
      <c r="J313" s="9" t="s">
        <v>106</v>
      </c>
      <c r="K313" s="9" t="s">
        <v>873</v>
      </c>
      <c r="L313" s="9" t="s">
        <v>106</v>
      </c>
      <c r="M313" s="9" t="s">
        <v>574</v>
      </c>
      <c r="N313" s="9" t="s">
        <v>2568</v>
      </c>
      <c r="O313" s="9" t="s">
        <v>2569</v>
      </c>
      <c r="P313" s="9" t="s">
        <v>308</v>
      </c>
      <c r="Q313" s="9" t="s">
        <v>2570</v>
      </c>
      <c r="R313" s="9" t="s">
        <v>2571</v>
      </c>
      <c r="S313" s="9" t="s">
        <v>2478</v>
      </c>
    </row>
    <row r="314" customFormat="false" ht="46.25" hidden="false" customHeight="false" outlineLevel="0" collapsed="false">
      <c r="A314" s="16" t="s">
        <v>2572</v>
      </c>
      <c r="B314" s="16" t="s">
        <v>139</v>
      </c>
      <c r="C314" s="9" t="s">
        <v>2563</v>
      </c>
      <c r="D314" s="9" t="s">
        <v>2564</v>
      </c>
      <c r="E314" s="9" t="s">
        <v>2573</v>
      </c>
      <c r="F314" s="9" t="s">
        <v>2574</v>
      </c>
      <c r="G314" s="9" t="s">
        <v>705</v>
      </c>
      <c r="H314" s="9" t="s">
        <v>106</v>
      </c>
      <c r="I314" s="9" t="s">
        <v>2575</v>
      </c>
      <c r="J314" s="9" t="s">
        <v>106</v>
      </c>
      <c r="K314" s="9" t="s">
        <v>873</v>
      </c>
      <c r="L314" s="9" t="s">
        <v>106</v>
      </c>
      <c r="M314" s="9" t="s">
        <v>563</v>
      </c>
      <c r="N314" s="9" t="s">
        <v>2568</v>
      </c>
      <c r="O314" s="9" t="s">
        <v>2576</v>
      </c>
      <c r="P314" s="9" t="s">
        <v>308</v>
      </c>
      <c r="Q314" s="9" t="s">
        <v>2570</v>
      </c>
      <c r="R314" s="9" t="s">
        <v>2571</v>
      </c>
      <c r="S314" s="9" t="s">
        <v>2478</v>
      </c>
    </row>
    <row r="315" customFormat="false" ht="68.65" hidden="false" customHeight="false" outlineLevel="0" collapsed="false">
      <c r="A315" s="16" t="s">
        <v>2577</v>
      </c>
      <c r="B315" s="16" t="s">
        <v>139</v>
      </c>
      <c r="C315" s="9" t="s">
        <v>2563</v>
      </c>
      <c r="D315" s="9" t="s">
        <v>2564</v>
      </c>
      <c r="E315" s="9" t="s">
        <v>2578</v>
      </c>
      <c r="F315" s="9" t="s">
        <v>2579</v>
      </c>
      <c r="G315" s="9" t="s">
        <v>705</v>
      </c>
      <c r="H315" s="9" t="s">
        <v>106</v>
      </c>
      <c r="I315" s="9" t="s">
        <v>2580</v>
      </c>
      <c r="J315" s="9" t="s">
        <v>2581</v>
      </c>
      <c r="K315" s="9" t="s">
        <v>873</v>
      </c>
      <c r="L315" s="9" t="s">
        <v>106</v>
      </c>
      <c r="M315" s="9" t="s">
        <v>2582</v>
      </c>
      <c r="N315" s="9" t="s">
        <v>2568</v>
      </c>
      <c r="O315" s="9" t="s">
        <v>2583</v>
      </c>
      <c r="P315" s="9" t="s">
        <v>2584</v>
      </c>
      <c r="Q315" s="9" t="s">
        <v>2570</v>
      </c>
      <c r="R315" s="9" t="s">
        <v>2571</v>
      </c>
      <c r="S315" s="9" t="s">
        <v>2478</v>
      </c>
    </row>
    <row r="316" customFormat="false" ht="46.25" hidden="false" customHeight="false" outlineLevel="0" collapsed="false">
      <c r="A316" s="16" t="s">
        <v>2585</v>
      </c>
      <c r="B316" s="16" t="s">
        <v>139</v>
      </c>
      <c r="C316" s="9" t="s">
        <v>2563</v>
      </c>
      <c r="D316" s="9" t="s">
        <v>2564</v>
      </c>
      <c r="E316" s="9" t="s">
        <v>2586</v>
      </c>
      <c r="F316" s="9" t="s">
        <v>2587</v>
      </c>
      <c r="G316" s="9" t="s">
        <v>705</v>
      </c>
      <c r="H316" s="9" t="s">
        <v>106</v>
      </c>
      <c r="I316" s="9" t="s">
        <v>2588</v>
      </c>
      <c r="J316" s="9" t="s">
        <v>106</v>
      </c>
      <c r="K316" s="9" t="s">
        <v>873</v>
      </c>
      <c r="L316" s="9" t="s">
        <v>106</v>
      </c>
      <c r="M316" s="9" t="s">
        <v>2589</v>
      </c>
      <c r="N316" s="9" t="s">
        <v>2568</v>
      </c>
      <c r="O316" s="9" t="s">
        <v>2590</v>
      </c>
      <c r="P316" s="9" t="s">
        <v>308</v>
      </c>
      <c r="Q316" s="9" t="s">
        <v>2570</v>
      </c>
      <c r="R316" s="9" t="s">
        <v>2571</v>
      </c>
      <c r="S316" s="9" t="s">
        <v>2478</v>
      </c>
    </row>
    <row r="317" customFormat="false" ht="46.25" hidden="false" customHeight="false" outlineLevel="0" collapsed="false">
      <c r="A317" s="16" t="s">
        <v>2591</v>
      </c>
      <c r="B317" s="16" t="s">
        <v>139</v>
      </c>
      <c r="C317" s="9" t="s">
        <v>2563</v>
      </c>
      <c r="D317" s="9" t="s">
        <v>2564</v>
      </c>
      <c r="E317" s="9" t="s">
        <v>1820</v>
      </c>
      <c r="F317" s="9" t="s">
        <v>2592</v>
      </c>
      <c r="G317" s="9" t="s">
        <v>705</v>
      </c>
      <c r="H317" s="9" t="s">
        <v>106</v>
      </c>
      <c r="I317" s="9" t="s">
        <v>1737</v>
      </c>
      <c r="J317" s="9" t="s">
        <v>106</v>
      </c>
      <c r="K317" s="9" t="s">
        <v>873</v>
      </c>
      <c r="L317" s="9" t="s">
        <v>106</v>
      </c>
      <c r="M317" s="9" t="s">
        <v>1739</v>
      </c>
      <c r="N317" s="9" t="s">
        <v>2593</v>
      </c>
      <c r="O317" s="9" t="s">
        <v>2594</v>
      </c>
      <c r="P317" s="9" t="s">
        <v>401</v>
      </c>
      <c r="Q317" s="9" t="s">
        <v>2570</v>
      </c>
      <c r="R317" s="9" t="s">
        <v>106</v>
      </c>
      <c r="S317" s="9" t="s">
        <v>2478</v>
      </c>
    </row>
    <row r="318" customFormat="false" ht="46.25" hidden="false" customHeight="false" outlineLevel="0" collapsed="false">
      <c r="A318" s="16" t="s">
        <v>2595</v>
      </c>
      <c r="B318" s="16" t="s">
        <v>139</v>
      </c>
      <c r="C318" s="9" t="s">
        <v>2596</v>
      </c>
      <c r="D318" s="9" t="s">
        <v>2564</v>
      </c>
      <c r="E318" s="9" t="s">
        <v>2565</v>
      </c>
      <c r="F318" s="9" t="s">
        <v>2597</v>
      </c>
      <c r="G318" s="9" t="s">
        <v>559</v>
      </c>
      <c r="H318" s="9" t="s">
        <v>560</v>
      </c>
      <c r="I318" s="9" t="s">
        <v>2598</v>
      </c>
      <c r="J318" s="9" t="s">
        <v>106</v>
      </c>
      <c r="K318" s="9" t="s">
        <v>873</v>
      </c>
      <c r="L318" s="9" t="s">
        <v>106</v>
      </c>
      <c r="M318" s="9" t="s">
        <v>574</v>
      </c>
      <c r="N318" s="9" t="s">
        <v>2599</v>
      </c>
      <c r="O318" s="9" t="s">
        <v>2569</v>
      </c>
      <c r="P318" s="9" t="s">
        <v>308</v>
      </c>
      <c r="Q318" s="9" t="s">
        <v>2570</v>
      </c>
      <c r="R318" s="9" t="s">
        <v>2571</v>
      </c>
      <c r="S318" s="9" t="s">
        <v>2478</v>
      </c>
    </row>
    <row r="319" customFormat="false" ht="46.25" hidden="false" customHeight="false" outlineLevel="0" collapsed="false">
      <c r="A319" s="16" t="s">
        <v>2600</v>
      </c>
      <c r="B319" s="16" t="s">
        <v>139</v>
      </c>
      <c r="C319" s="9" t="s">
        <v>2596</v>
      </c>
      <c r="D319" s="9" t="s">
        <v>2564</v>
      </c>
      <c r="E319" s="9" t="s">
        <v>2601</v>
      </c>
      <c r="F319" s="9" t="s">
        <v>2602</v>
      </c>
      <c r="G319" s="9" t="s">
        <v>559</v>
      </c>
      <c r="H319" s="9" t="s">
        <v>560</v>
      </c>
      <c r="I319" s="9" t="s">
        <v>2575</v>
      </c>
      <c r="J319" s="9" t="s">
        <v>106</v>
      </c>
      <c r="K319" s="9" t="s">
        <v>873</v>
      </c>
      <c r="L319" s="9" t="s">
        <v>106</v>
      </c>
      <c r="M319" s="9" t="s">
        <v>563</v>
      </c>
      <c r="N319" s="9" t="s">
        <v>2599</v>
      </c>
      <c r="O319" s="9" t="s">
        <v>2576</v>
      </c>
      <c r="P319" s="9" t="s">
        <v>308</v>
      </c>
      <c r="Q319" s="9" t="s">
        <v>2570</v>
      </c>
      <c r="R319" s="9" t="s">
        <v>2571</v>
      </c>
      <c r="S319" s="9" t="s">
        <v>2478</v>
      </c>
    </row>
    <row r="320" customFormat="false" ht="46.25" hidden="false" customHeight="false" outlineLevel="0" collapsed="false">
      <c r="A320" s="16" t="s">
        <v>2603</v>
      </c>
      <c r="B320" s="16" t="s">
        <v>139</v>
      </c>
      <c r="C320" s="9" t="s">
        <v>2596</v>
      </c>
      <c r="D320" s="9" t="s">
        <v>2564</v>
      </c>
      <c r="E320" s="9" t="s">
        <v>2604</v>
      </c>
      <c r="F320" s="9" t="s">
        <v>2605</v>
      </c>
      <c r="G320" s="9" t="s">
        <v>581</v>
      </c>
      <c r="H320" s="9" t="s">
        <v>560</v>
      </c>
      <c r="I320" s="9" t="s">
        <v>2606</v>
      </c>
      <c r="J320" s="9" t="s">
        <v>106</v>
      </c>
      <c r="K320" s="9" t="s">
        <v>873</v>
      </c>
      <c r="L320" s="9" t="s">
        <v>2533</v>
      </c>
      <c r="M320" s="9" t="s">
        <v>2582</v>
      </c>
      <c r="N320" s="9" t="s">
        <v>2599</v>
      </c>
      <c r="O320" s="9" t="s">
        <v>2607</v>
      </c>
      <c r="P320" s="9" t="s">
        <v>2584</v>
      </c>
      <c r="Q320" s="9" t="s">
        <v>2570</v>
      </c>
      <c r="R320" s="9" t="s">
        <v>2571</v>
      </c>
      <c r="S320" s="9" t="s">
        <v>2478</v>
      </c>
    </row>
    <row r="321" customFormat="false" ht="46.25" hidden="false" customHeight="false" outlineLevel="0" collapsed="false">
      <c r="A321" s="16" t="s">
        <v>2608</v>
      </c>
      <c r="B321" s="16" t="s">
        <v>139</v>
      </c>
      <c r="C321" s="9" t="s">
        <v>2596</v>
      </c>
      <c r="D321" s="9" t="s">
        <v>2564</v>
      </c>
      <c r="E321" s="9" t="s">
        <v>273</v>
      </c>
      <c r="F321" s="9" t="s">
        <v>2609</v>
      </c>
      <c r="G321" s="9" t="s">
        <v>965</v>
      </c>
      <c r="H321" s="9" t="s">
        <v>560</v>
      </c>
      <c r="I321" s="9" t="s">
        <v>2610</v>
      </c>
      <c r="J321" s="9" t="s">
        <v>106</v>
      </c>
      <c r="K321" s="9" t="s">
        <v>873</v>
      </c>
      <c r="L321" s="9" t="s">
        <v>2611</v>
      </c>
      <c r="M321" s="9" t="s">
        <v>2589</v>
      </c>
      <c r="N321" s="9" t="s">
        <v>2599</v>
      </c>
      <c r="O321" s="9" t="s">
        <v>2590</v>
      </c>
      <c r="P321" s="9" t="s">
        <v>308</v>
      </c>
      <c r="Q321" s="9" t="s">
        <v>2570</v>
      </c>
      <c r="R321" s="9" t="s">
        <v>2571</v>
      </c>
      <c r="S321" s="9" t="s">
        <v>2478</v>
      </c>
    </row>
    <row r="322" customFormat="false" ht="46.25" hidden="false" customHeight="false" outlineLevel="0" collapsed="false">
      <c r="A322" s="16" t="s">
        <v>2612</v>
      </c>
      <c r="B322" s="16" t="s">
        <v>149</v>
      </c>
      <c r="C322" s="9" t="s">
        <v>2613</v>
      </c>
      <c r="D322" s="9" t="s">
        <v>106</v>
      </c>
      <c r="E322" s="9" t="s">
        <v>2614</v>
      </c>
      <c r="F322" s="9" t="s">
        <v>2615</v>
      </c>
      <c r="G322" s="9" t="s">
        <v>559</v>
      </c>
      <c r="H322" s="9" t="s">
        <v>560</v>
      </c>
      <c r="I322" s="9" t="s">
        <v>2616</v>
      </c>
      <c r="J322" s="9" t="s">
        <v>106</v>
      </c>
      <c r="K322" s="9" t="s">
        <v>2617</v>
      </c>
      <c r="L322" s="9" t="s">
        <v>2618</v>
      </c>
      <c r="M322" s="9" t="s">
        <v>1148</v>
      </c>
      <c r="N322" s="9" t="s">
        <v>154</v>
      </c>
      <c r="O322" s="9" t="s">
        <v>2619</v>
      </c>
      <c r="P322" s="9" t="s">
        <v>308</v>
      </c>
      <c r="Q322" s="9" t="s">
        <v>2620</v>
      </c>
      <c r="R322" s="9" t="s">
        <v>2621</v>
      </c>
      <c r="S322" s="9" t="s">
        <v>2622</v>
      </c>
    </row>
    <row r="323" customFormat="false" ht="46.25" hidden="false" customHeight="false" outlineLevel="0" collapsed="false">
      <c r="A323" s="16" t="s">
        <v>2623</v>
      </c>
      <c r="B323" s="16" t="s">
        <v>149</v>
      </c>
      <c r="C323" s="9" t="s">
        <v>2613</v>
      </c>
      <c r="D323" s="9" t="s">
        <v>106</v>
      </c>
      <c r="E323" s="9" t="s">
        <v>2624</v>
      </c>
      <c r="F323" s="9" t="s">
        <v>2625</v>
      </c>
      <c r="G323" s="9" t="s">
        <v>965</v>
      </c>
      <c r="H323" s="9" t="s">
        <v>560</v>
      </c>
      <c r="I323" s="9" t="s">
        <v>1044</v>
      </c>
      <c r="J323" s="9" t="s">
        <v>106</v>
      </c>
      <c r="K323" s="9" t="s">
        <v>2617</v>
      </c>
      <c r="L323" s="9" t="s">
        <v>2626</v>
      </c>
      <c r="M323" s="9" t="s">
        <v>2627</v>
      </c>
      <c r="N323" s="9" t="s">
        <v>154</v>
      </c>
      <c r="O323" s="9" t="s">
        <v>2628</v>
      </c>
      <c r="P323" s="9" t="s">
        <v>308</v>
      </c>
      <c r="Q323" s="9" t="s">
        <v>2620</v>
      </c>
      <c r="R323" s="9" t="s">
        <v>2621</v>
      </c>
      <c r="S323" s="9" t="s">
        <v>2622</v>
      </c>
    </row>
    <row r="324" customFormat="false" ht="46.25" hidden="false" customHeight="false" outlineLevel="0" collapsed="false">
      <c r="A324" s="16" t="s">
        <v>2629</v>
      </c>
      <c r="B324" s="16" t="s">
        <v>149</v>
      </c>
      <c r="C324" s="9" t="s">
        <v>2630</v>
      </c>
      <c r="D324" s="9" t="s">
        <v>106</v>
      </c>
      <c r="E324" s="9" t="s">
        <v>2631</v>
      </c>
      <c r="F324" s="9" t="s">
        <v>2632</v>
      </c>
      <c r="G324" s="9" t="s">
        <v>293</v>
      </c>
      <c r="H324" s="9" t="s">
        <v>106</v>
      </c>
      <c r="I324" s="9" t="s">
        <v>2633</v>
      </c>
      <c r="J324" s="9" t="s">
        <v>106</v>
      </c>
      <c r="K324" s="9" t="s">
        <v>2617</v>
      </c>
      <c r="L324" s="9" t="s">
        <v>2634</v>
      </c>
      <c r="M324" s="9" t="s">
        <v>2635</v>
      </c>
      <c r="N324" s="9" t="s">
        <v>154</v>
      </c>
      <c r="O324" s="9" t="s">
        <v>2636</v>
      </c>
      <c r="P324" s="9" t="s">
        <v>2637</v>
      </c>
      <c r="Q324" s="9" t="s">
        <v>2638</v>
      </c>
      <c r="R324" s="9" t="s">
        <v>2639</v>
      </c>
      <c r="S324" s="9" t="s">
        <v>2622</v>
      </c>
    </row>
    <row r="325" customFormat="false" ht="46.25" hidden="false" customHeight="false" outlineLevel="0" collapsed="false">
      <c r="A325" s="16" t="s">
        <v>2640</v>
      </c>
      <c r="B325" s="16" t="s">
        <v>149</v>
      </c>
      <c r="C325" s="9" t="s">
        <v>2630</v>
      </c>
      <c r="D325" s="9" t="s">
        <v>106</v>
      </c>
      <c r="E325" s="9" t="s">
        <v>2641</v>
      </c>
      <c r="F325" s="9" t="s">
        <v>2642</v>
      </c>
      <c r="G325" s="9" t="s">
        <v>293</v>
      </c>
      <c r="H325" s="9" t="s">
        <v>106</v>
      </c>
      <c r="I325" s="9" t="s">
        <v>2643</v>
      </c>
      <c r="J325" s="9" t="s">
        <v>106</v>
      </c>
      <c r="K325" s="9" t="s">
        <v>2617</v>
      </c>
      <c r="L325" s="9" t="s">
        <v>2644</v>
      </c>
      <c r="M325" s="9" t="s">
        <v>2645</v>
      </c>
      <c r="N325" s="9" t="s">
        <v>154</v>
      </c>
      <c r="O325" s="9" t="s">
        <v>2646</v>
      </c>
      <c r="P325" s="9" t="s">
        <v>106</v>
      </c>
      <c r="Q325" s="9" t="s">
        <v>2620</v>
      </c>
      <c r="R325" s="9" t="s">
        <v>2621</v>
      </c>
      <c r="S325" s="9" t="s">
        <v>2622</v>
      </c>
    </row>
    <row r="326" customFormat="false" ht="46.25" hidden="false" customHeight="false" outlineLevel="0" collapsed="false">
      <c r="A326" s="16" t="s">
        <v>2647</v>
      </c>
      <c r="B326" s="16" t="s">
        <v>149</v>
      </c>
      <c r="C326" s="9" t="s">
        <v>2630</v>
      </c>
      <c r="D326" s="9" t="s">
        <v>106</v>
      </c>
      <c r="E326" s="9" t="s">
        <v>2648</v>
      </c>
      <c r="F326" s="9" t="s">
        <v>2649</v>
      </c>
      <c r="G326" s="9" t="s">
        <v>293</v>
      </c>
      <c r="H326" s="9" t="s">
        <v>106</v>
      </c>
      <c r="I326" s="9" t="s">
        <v>106</v>
      </c>
      <c r="J326" s="9" t="s">
        <v>106</v>
      </c>
      <c r="K326" s="9" t="s">
        <v>2617</v>
      </c>
      <c r="L326" s="9" t="s">
        <v>106</v>
      </c>
      <c r="M326" s="9" t="s">
        <v>2650</v>
      </c>
      <c r="N326" s="9" t="s">
        <v>154</v>
      </c>
      <c r="O326" s="9" t="s">
        <v>2651</v>
      </c>
      <c r="P326" s="9" t="s">
        <v>106</v>
      </c>
      <c r="Q326" s="9" t="s">
        <v>2620</v>
      </c>
      <c r="R326" s="9" t="s">
        <v>2621</v>
      </c>
      <c r="S326" s="9" t="s">
        <v>2622</v>
      </c>
    </row>
    <row r="327" customFormat="false" ht="46.25" hidden="false" customHeight="false" outlineLevel="0" collapsed="false">
      <c r="A327" s="16" t="s">
        <v>2652</v>
      </c>
      <c r="B327" s="16" t="s">
        <v>158</v>
      </c>
      <c r="C327" s="9" t="s">
        <v>2653</v>
      </c>
      <c r="D327" s="9" t="s">
        <v>159</v>
      </c>
      <c r="E327" s="9" t="s">
        <v>888</v>
      </c>
      <c r="F327" s="9" t="s">
        <v>2654</v>
      </c>
      <c r="G327" s="9" t="s">
        <v>705</v>
      </c>
      <c r="H327" s="9" t="s">
        <v>106</v>
      </c>
      <c r="I327" s="9" t="s">
        <v>106</v>
      </c>
      <c r="J327" s="9" t="s">
        <v>106</v>
      </c>
      <c r="K327" s="9" t="s">
        <v>873</v>
      </c>
      <c r="L327" s="9" t="s">
        <v>106</v>
      </c>
      <c r="M327" s="9" t="s">
        <v>1554</v>
      </c>
      <c r="N327" s="9" t="s">
        <v>2655</v>
      </c>
      <c r="O327" s="9" t="s">
        <v>2656</v>
      </c>
      <c r="P327" s="9" t="s">
        <v>308</v>
      </c>
      <c r="Q327" s="9" t="s">
        <v>2657</v>
      </c>
      <c r="R327" s="9" t="s">
        <v>2658</v>
      </c>
      <c r="S327" s="9" t="s">
        <v>2659</v>
      </c>
    </row>
    <row r="328" customFormat="false" ht="46.25" hidden="false" customHeight="false" outlineLevel="0" collapsed="false">
      <c r="A328" s="16" t="s">
        <v>2660</v>
      </c>
      <c r="B328" s="16" t="s">
        <v>158</v>
      </c>
      <c r="C328" s="9" t="s">
        <v>2653</v>
      </c>
      <c r="D328" s="9" t="s">
        <v>159</v>
      </c>
      <c r="E328" s="9" t="s">
        <v>2661</v>
      </c>
      <c r="F328" s="9" t="s">
        <v>2662</v>
      </c>
      <c r="G328" s="9" t="s">
        <v>27</v>
      </c>
      <c r="H328" s="9" t="s">
        <v>106</v>
      </c>
      <c r="I328" s="9" t="s">
        <v>2663</v>
      </c>
      <c r="J328" s="9" t="s">
        <v>106</v>
      </c>
      <c r="K328" s="9" t="s">
        <v>873</v>
      </c>
      <c r="L328" s="9" t="s">
        <v>106</v>
      </c>
      <c r="M328" s="9" t="s">
        <v>2664</v>
      </c>
      <c r="N328" s="9" t="s">
        <v>2655</v>
      </c>
      <c r="O328" s="9" t="s">
        <v>2665</v>
      </c>
      <c r="P328" s="9" t="s">
        <v>308</v>
      </c>
      <c r="Q328" s="9" t="s">
        <v>2657</v>
      </c>
      <c r="R328" s="9" t="s">
        <v>2658</v>
      </c>
      <c r="S328" s="9" t="s">
        <v>2659</v>
      </c>
    </row>
    <row r="329" customFormat="false" ht="46.25" hidden="false" customHeight="false" outlineLevel="0" collapsed="false">
      <c r="A329" s="16" t="s">
        <v>2666</v>
      </c>
      <c r="B329" s="16" t="s">
        <v>158</v>
      </c>
      <c r="C329" s="9" t="s">
        <v>2653</v>
      </c>
      <c r="D329" s="9" t="s">
        <v>159</v>
      </c>
      <c r="E329" s="9" t="s">
        <v>2667</v>
      </c>
      <c r="F329" s="9" t="s">
        <v>2668</v>
      </c>
      <c r="G329" s="9" t="s">
        <v>705</v>
      </c>
      <c r="H329" s="9" t="s">
        <v>106</v>
      </c>
      <c r="I329" s="9" t="s">
        <v>106</v>
      </c>
      <c r="J329" s="9" t="s">
        <v>106</v>
      </c>
      <c r="K329" s="9" t="s">
        <v>873</v>
      </c>
      <c r="L329" s="9" t="s">
        <v>106</v>
      </c>
      <c r="M329" s="9" t="s">
        <v>2669</v>
      </c>
      <c r="N329" s="9" t="s">
        <v>2655</v>
      </c>
      <c r="O329" s="9" t="s">
        <v>2670</v>
      </c>
      <c r="P329" s="9" t="s">
        <v>308</v>
      </c>
      <c r="Q329" s="9" t="s">
        <v>2657</v>
      </c>
      <c r="R329" s="9" t="s">
        <v>106</v>
      </c>
      <c r="S329" s="9" t="s">
        <v>2659</v>
      </c>
    </row>
    <row r="330" customFormat="false" ht="46.25" hidden="false" customHeight="false" outlineLevel="0" collapsed="false">
      <c r="A330" s="16" t="s">
        <v>2671</v>
      </c>
      <c r="B330" s="16" t="s">
        <v>158</v>
      </c>
      <c r="C330" s="9" t="s">
        <v>2653</v>
      </c>
      <c r="D330" s="9" t="s">
        <v>159</v>
      </c>
      <c r="E330" s="9" t="s">
        <v>2672</v>
      </c>
      <c r="F330" s="9" t="s">
        <v>2673</v>
      </c>
      <c r="G330" s="9" t="s">
        <v>705</v>
      </c>
      <c r="H330" s="9" t="s">
        <v>106</v>
      </c>
      <c r="I330" s="9" t="s">
        <v>106</v>
      </c>
      <c r="J330" s="9" t="s">
        <v>106</v>
      </c>
      <c r="K330" s="9" t="s">
        <v>873</v>
      </c>
      <c r="L330" s="9" t="s">
        <v>106</v>
      </c>
      <c r="M330" s="9" t="s">
        <v>2674</v>
      </c>
      <c r="N330" s="9" t="s">
        <v>2655</v>
      </c>
      <c r="O330" s="9" t="s">
        <v>2675</v>
      </c>
      <c r="P330" s="9" t="s">
        <v>106</v>
      </c>
      <c r="Q330" s="9" t="s">
        <v>2657</v>
      </c>
      <c r="R330" s="9" t="s">
        <v>2658</v>
      </c>
      <c r="S330" s="9" t="s">
        <v>2659</v>
      </c>
    </row>
    <row r="331" customFormat="false" ht="46.25" hidden="false" customHeight="false" outlineLevel="0" collapsed="false">
      <c r="A331" s="16" t="s">
        <v>2676</v>
      </c>
      <c r="B331" s="16" t="s">
        <v>158</v>
      </c>
      <c r="C331" s="9" t="s">
        <v>2653</v>
      </c>
      <c r="D331" s="9" t="s">
        <v>159</v>
      </c>
      <c r="E331" s="9" t="s">
        <v>2677</v>
      </c>
      <c r="F331" s="9" t="s">
        <v>2678</v>
      </c>
      <c r="G331" s="9" t="s">
        <v>705</v>
      </c>
      <c r="H331" s="9" t="s">
        <v>106</v>
      </c>
      <c r="I331" s="9" t="s">
        <v>2679</v>
      </c>
      <c r="J331" s="9" t="s">
        <v>106</v>
      </c>
      <c r="K331" s="9" t="s">
        <v>873</v>
      </c>
      <c r="L331" s="9" t="s">
        <v>106</v>
      </c>
      <c r="M331" s="9" t="s">
        <v>2680</v>
      </c>
      <c r="N331" s="9" t="s">
        <v>2655</v>
      </c>
      <c r="O331" s="9" t="s">
        <v>2681</v>
      </c>
      <c r="P331" s="9" t="s">
        <v>401</v>
      </c>
      <c r="Q331" s="9" t="s">
        <v>2657</v>
      </c>
      <c r="R331" s="9" t="s">
        <v>2682</v>
      </c>
      <c r="S331" s="9" t="s">
        <v>2659</v>
      </c>
    </row>
    <row r="332" customFormat="false" ht="46.25" hidden="false" customHeight="false" outlineLevel="0" collapsed="false">
      <c r="A332" s="15" t="s">
        <v>2683</v>
      </c>
      <c r="B332" s="16" t="s">
        <v>158</v>
      </c>
      <c r="C332" s="9" t="s">
        <v>2653</v>
      </c>
      <c r="D332" s="9" t="s">
        <v>159</v>
      </c>
      <c r="E332" s="9" t="s">
        <v>2684</v>
      </c>
      <c r="F332" s="9" t="s">
        <v>2685</v>
      </c>
      <c r="G332" s="9" t="s">
        <v>965</v>
      </c>
      <c r="H332" s="9" t="s">
        <v>560</v>
      </c>
      <c r="I332" s="9" t="s">
        <v>2686</v>
      </c>
      <c r="J332" s="9" t="s">
        <v>106</v>
      </c>
      <c r="K332" s="9" t="s">
        <v>873</v>
      </c>
      <c r="L332" s="9" t="s">
        <v>1732</v>
      </c>
      <c r="M332" s="9" t="s">
        <v>1479</v>
      </c>
      <c r="N332" s="9" t="s">
        <v>2687</v>
      </c>
      <c r="O332" s="9" t="s">
        <v>2688</v>
      </c>
      <c r="P332" s="9" t="s">
        <v>308</v>
      </c>
      <c r="Q332" s="9" t="s">
        <v>2657</v>
      </c>
      <c r="R332" s="9" t="s">
        <v>106</v>
      </c>
      <c r="S332" s="9" t="s">
        <v>2659</v>
      </c>
    </row>
    <row r="333" customFormat="false" ht="46.25" hidden="false" customHeight="false" outlineLevel="0" collapsed="false">
      <c r="A333" s="15" t="s">
        <v>2689</v>
      </c>
      <c r="B333" s="16" t="s">
        <v>158</v>
      </c>
      <c r="C333" s="9" t="s">
        <v>2690</v>
      </c>
      <c r="D333" s="9" t="s">
        <v>159</v>
      </c>
      <c r="E333" s="9" t="s">
        <v>2691</v>
      </c>
      <c r="F333" s="9" t="s">
        <v>2692</v>
      </c>
      <c r="G333" s="9" t="s">
        <v>693</v>
      </c>
      <c r="H333" s="9" t="s">
        <v>395</v>
      </c>
      <c r="I333" s="9" t="s">
        <v>2693</v>
      </c>
      <c r="J333" s="9" t="s">
        <v>106</v>
      </c>
      <c r="K333" s="9" t="s">
        <v>873</v>
      </c>
      <c r="L333" s="9" t="s">
        <v>106</v>
      </c>
      <c r="M333" s="9" t="s">
        <v>305</v>
      </c>
      <c r="N333" s="9" t="s">
        <v>2694</v>
      </c>
      <c r="O333" s="9" t="s">
        <v>2695</v>
      </c>
      <c r="P333" s="9" t="s">
        <v>308</v>
      </c>
      <c r="Q333" s="9" t="s">
        <v>2657</v>
      </c>
      <c r="R333" s="9" t="s">
        <v>106</v>
      </c>
      <c r="S333" s="9" t="s">
        <v>2659</v>
      </c>
    </row>
    <row r="334" customFormat="false" ht="46.25" hidden="false" customHeight="false" outlineLevel="0" collapsed="false">
      <c r="A334" s="16" t="s">
        <v>2696</v>
      </c>
      <c r="B334" s="16" t="s">
        <v>158</v>
      </c>
      <c r="C334" s="9" t="s">
        <v>2690</v>
      </c>
      <c r="D334" s="9" t="s">
        <v>159</v>
      </c>
      <c r="E334" s="9" t="s">
        <v>2697</v>
      </c>
      <c r="F334" s="9" t="s">
        <v>2698</v>
      </c>
      <c r="G334" s="9" t="s">
        <v>871</v>
      </c>
      <c r="H334" s="9" t="s">
        <v>395</v>
      </c>
      <c r="I334" s="9" t="s">
        <v>2699</v>
      </c>
      <c r="J334" s="9" t="s">
        <v>106</v>
      </c>
      <c r="K334" s="9" t="s">
        <v>873</v>
      </c>
      <c r="L334" s="9" t="s">
        <v>106</v>
      </c>
      <c r="M334" s="9" t="s">
        <v>874</v>
      </c>
      <c r="N334" s="9" t="s">
        <v>2694</v>
      </c>
      <c r="O334" s="9" t="s">
        <v>2700</v>
      </c>
      <c r="P334" s="9" t="s">
        <v>318</v>
      </c>
      <c r="Q334" s="9" t="s">
        <v>2657</v>
      </c>
      <c r="R334" s="9" t="s">
        <v>106</v>
      </c>
      <c r="S334" s="9" t="s">
        <v>2659</v>
      </c>
    </row>
    <row r="335" customFormat="false" ht="46.25" hidden="false" customHeight="false" outlineLevel="0" collapsed="false">
      <c r="A335" s="16" t="s">
        <v>2701</v>
      </c>
      <c r="B335" s="16" t="s">
        <v>158</v>
      </c>
      <c r="C335" s="9" t="s">
        <v>2690</v>
      </c>
      <c r="D335" s="9" t="s">
        <v>159</v>
      </c>
      <c r="E335" s="9" t="s">
        <v>2702</v>
      </c>
      <c r="F335" s="9" t="s">
        <v>2703</v>
      </c>
      <c r="G335" s="9" t="s">
        <v>705</v>
      </c>
      <c r="H335" s="9" t="s">
        <v>106</v>
      </c>
      <c r="I335" s="9" t="s">
        <v>2704</v>
      </c>
      <c r="J335" s="9" t="s">
        <v>106</v>
      </c>
      <c r="K335" s="9" t="s">
        <v>873</v>
      </c>
      <c r="L335" s="9" t="s">
        <v>106</v>
      </c>
      <c r="M335" s="9" t="s">
        <v>1479</v>
      </c>
      <c r="N335" s="9" t="s">
        <v>2694</v>
      </c>
      <c r="O335" s="9" t="s">
        <v>2705</v>
      </c>
      <c r="P335" s="9" t="s">
        <v>308</v>
      </c>
      <c r="Q335" s="9" t="s">
        <v>2657</v>
      </c>
      <c r="R335" s="9" t="s">
        <v>2658</v>
      </c>
      <c r="S335" s="9" t="s">
        <v>2659</v>
      </c>
    </row>
    <row r="336" customFormat="false" ht="46.25" hidden="false" customHeight="false" outlineLevel="0" collapsed="false">
      <c r="A336" s="16" t="s">
        <v>2706</v>
      </c>
      <c r="B336" s="16" t="s">
        <v>158</v>
      </c>
      <c r="C336" s="9" t="s">
        <v>2690</v>
      </c>
      <c r="D336" s="9" t="s">
        <v>159</v>
      </c>
      <c r="E336" s="9" t="s">
        <v>2707</v>
      </c>
      <c r="F336" s="9" t="s">
        <v>2708</v>
      </c>
      <c r="G336" s="9" t="s">
        <v>27</v>
      </c>
      <c r="H336" s="9" t="s">
        <v>106</v>
      </c>
      <c r="I336" s="9" t="s">
        <v>2709</v>
      </c>
      <c r="J336" s="9" t="s">
        <v>106</v>
      </c>
      <c r="K336" s="9" t="s">
        <v>873</v>
      </c>
      <c r="L336" s="9" t="s">
        <v>106</v>
      </c>
      <c r="M336" s="9" t="s">
        <v>2710</v>
      </c>
      <c r="N336" s="9" t="s">
        <v>2694</v>
      </c>
      <c r="O336" s="9" t="s">
        <v>2711</v>
      </c>
      <c r="P336" s="9" t="s">
        <v>308</v>
      </c>
      <c r="Q336" s="9" t="s">
        <v>2657</v>
      </c>
      <c r="R336" s="9" t="s">
        <v>2712</v>
      </c>
      <c r="S336" s="9" t="s">
        <v>2659</v>
      </c>
    </row>
    <row r="337" customFormat="false" ht="46.25" hidden="false" customHeight="false" outlineLevel="0" collapsed="false">
      <c r="A337" s="16" t="s">
        <v>2713</v>
      </c>
      <c r="B337" s="16" t="s">
        <v>158</v>
      </c>
      <c r="C337" s="9" t="s">
        <v>2690</v>
      </c>
      <c r="D337" s="9" t="s">
        <v>159</v>
      </c>
      <c r="E337" s="9" t="s">
        <v>2714</v>
      </c>
      <c r="F337" s="9" t="s">
        <v>2715</v>
      </c>
      <c r="G337" s="9" t="s">
        <v>705</v>
      </c>
      <c r="H337" s="9" t="s">
        <v>106</v>
      </c>
      <c r="I337" s="9" t="s">
        <v>2716</v>
      </c>
      <c r="J337" s="9" t="s">
        <v>106</v>
      </c>
      <c r="K337" s="9" t="s">
        <v>873</v>
      </c>
      <c r="L337" s="9" t="s">
        <v>106</v>
      </c>
      <c r="M337" s="9" t="s">
        <v>2717</v>
      </c>
      <c r="N337" s="9" t="s">
        <v>2694</v>
      </c>
      <c r="O337" s="9" t="s">
        <v>2718</v>
      </c>
      <c r="P337" s="9" t="s">
        <v>2719</v>
      </c>
      <c r="Q337" s="9" t="s">
        <v>2657</v>
      </c>
      <c r="R337" s="9" t="s">
        <v>2682</v>
      </c>
      <c r="S337" s="9" t="s">
        <v>2659</v>
      </c>
    </row>
    <row r="338" customFormat="false" ht="46.25" hidden="false" customHeight="false" outlineLevel="0" collapsed="false">
      <c r="A338" s="16" t="s">
        <v>2720</v>
      </c>
      <c r="B338" s="16" t="s">
        <v>158</v>
      </c>
      <c r="C338" s="9" t="s">
        <v>2690</v>
      </c>
      <c r="D338" s="9" t="s">
        <v>159</v>
      </c>
      <c r="E338" s="9" t="s">
        <v>2721</v>
      </c>
      <c r="F338" s="9" t="s">
        <v>2722</v>
      </c>
      <c r="G338" s="9" t="s">
        <v>293</v>
      </c>
      <c r="H338" s="9" t="s">
        <v>106</v>
      </c>
      <c r="I338" s="9" t="s">
        <v>2723</v>
      </c>
      <c r="J338" s="9" t="s">
        <v>106</v>
      </c>
      <c r="K338" s="9" t="s">
        <v>873</v>
      </c>
      <c r="L338" s="9" t="s">
        <v>106</v>
      </c>
      <c r="M338" s="9" t="s">
        <v>2724</v>
      </c>
      <c r="N338" s="9" t="s">
        <v>2725</v>
      </c>
      <c r="O338" s="9" t="s">
        <v>2726</v>
      </c>
      <c r="P338" s="9" t="s">
        <v>1098</v>
      </c>
      <c r="Q338" s="9" t="s">
        <v>2657</v>
      </c>
      <c r="R338" s="9" t="s">
        <v>2658</v>
      </c>
      <c r="S338" s="9" t="s">
        <v>2659</v>
      </c>
    </row>
    <row r="339" customFormat="false" ht="46.25" hidden="false" customHeight="false" outlineLevel="0" collapsed="false">
      <c r="A339" s="16" t="s">
        <v>2727</v>
      </c>
      <c r="B339" s="16" t="s">
        <v>158</v>
      </c>
      <c r="C339" s="9" t="s">
        <v>2690</v>
      </c>
      <c r="D339" s="9" t="s">
        <v>159</v>
      </c>
      <c r="E339" s="9" t="s">
        <v>2728</v>
      </c>
      <c r="F339" s="9" t="s">
        <v>2729</v>
      </c>
      <c r="G339" s="9" t="s">
        <v>705</v>
      </c>
      <c r="H339" s="9" t="s">
        <v>106</v>
      </c>
      <c r="I339" s="9" t="s">
        <v>106</v>
      </c>
      <c r="J339" s="9" t="s">
        <v>106</v>
      </c>
      <c r="K339" s="9" t="s">
        <v>873</v>
      </c>
      <c r="L339" s="9" t="s">
        <v>106</v>
      </c>
      <c r="M339" s="9" t="s">
        <v>2730</v>
      </c>
      <c r="N339" s="9" t="s">
        <v>2694</v>
      </c>
      <c r="O339" s="9" t="s">
        <v>2731</v>
      </c>
      <c r="P339" s="9" t="s">
        <v>106</v>
      </c>
      <c r="Q339" s="9" t="s">
        <v>2657</v>
      </c>
      <c r="R339" s="9" t="s">
        <v>2732</v>
      </c>
      <c r="S339" s="9" t="s">
        <v>2659</v>
      </c>
    </row>
    <row r="340" customFormat="false" ht="46.25" hidden="false" customHeight="false" outlineLevel="0" collapsed="false">
      <c r="A340" s="16" t="s">
        <v>2733</v>
      </c>
      <c r="B340" s="16" t="s">
        <v>158</v>
      </c>
      <c r="C340" s="9" t="s">
        <v>2690</v>
      </c>
      <c r="D340" s="9" t="s">
        <v>159</v>
      </c>
      <c r="E340" s="9" t="s">
        <v>1820</v>
      </c>
      <c r="F340" s="9" t="s">
        <v>2734</v>
      </c>
      <c r="G340" s="9" t="s">
        <v>705</v>
      </c>
      <c r="H340" s="9" t="s">
        <v>106</v>
      </c>
      <c r="I340" s="9" t="s">
        <v>2735</v>
      </c>
      <c r="J340" s="9" t="s">
        <v>106</v>
      </c>
      <c r="K340" s="9" t="s">
        <v>873</v>
      </c>
      <c r="L340" s="9" t="s">
        <v>2736</v>
      </c>
      <c r="M340" s="9" t="s">
        <v>305</v>
      </c>
      <c r="N340" s="9" t="s">
        <v>2694</v>
      </c>
      <c r="O340" s="9" t="s">
        <v>2695</v>
      </c>
      <c r="P340" s="9" t="s">
        <v>308</v>
      </c>
      <c r="Q340" s="9" t="s">
        <v>2657</v>
      </c>
      <c r="R340" s="9" t="s">
        <v>2732</v>
      </c>
      <c r="S340" s="9" t="s">
        <v>2659</v>
      </c>
    </row>
    <row r="341" customFormat="false" ht="46.25" hidden="false" customHeight="false" outlineLevel="0" collapsed="false">
      <c r="A341" s="16" t="s">
        <v>2737</v>
      </c>
      <c r="B341" s="16" t="s">
        <v>158</v>
      </c>
      <c r="C341" s="9" t="s">
        <v>2738</v>
      </c>
      <c r="D341" s="9" t="s">
        <v>159</v>
      </c>
      <c r="E341" s="9" t="s">
        <v>888</v>
      </c>
      <c r="F341" s="9" t="s">
        <v>2739</v>
      </c>
      <c r="G341" s="9" t="s">
        <v>965</v>
      </c>
      <c r="H341" s="9" t="s">
        <v>560</v>
      </c>
      <c r="I341" s="9" t="s">
        <v>2740</v>
      </c>
      <c r="J341" s="9" t="s">
        <v>106</v>
      </c>
      <c r="K341" s="9" t="s">
        <v>873</v>
      </c>
      <c r="L341" s="9" t="s">
        <v>1732</v>
      </c>
      <c r="M341" s="9" t="s">
        <v>1479</v>
      </c>
      <c r="N341" s="9" t="s">
        <v>2741</v>
      </c>
      <c r="O341" s="9" t="s">
        <v>2742</v>
      </c>
      <c r="P341" s="9" t="s">
        <v>308</v>
      </c>
      <c r="Q341" s="9" t="s">
        <v>2657</v>
      </c>
      <c r="R341" s="9" t="s">
        <v>2658</v>
      </c>
      <c r="S341" s="9" t="s">
        <v>2659</v>
      </c>
    </row>
    <row r="342" customFormat="false" ht="57.45" hidden="false" customHeight="false" outlineLevel="0" collapsed="false">
      <c r="A342" s="16" t="s">
        <v>2743</v>
      </c>
      <c r="B342" s="16" t="s">
        <v>158</v>
      </c>
      <c r="C342" s="9" t="s">
        <v>2738</v>
      </c>
      <c r="D342" s="9" t="s">
        <v>159</v>
      </c>
      <c r="E342" s="9" t="s">
        <v>2744</v>
      </c>
      <c r="F342" s="9" t="s">
        <v>2745</v>
      </c>
      <c r="G342" s="9" t="s">
        <v>27</v>
      </c>
      <c r="H342" s="9" t="s">
        <v>560</v>
      </c>
      <c r="I342" s="9" t="s">
        <v>2746</v>
      </c>
      <c r="J342" s="9" t="s">
        <v>2747</v>
      </c>
      <c r="K342" s="9" t="s">
        <v>873</v>
      </c>
      <c r="L342" s="9" t="s">
        <v>2748</v>
      </c>
      <c r="M342" s="9" t="s">
        <v>2710</v>
      </c>
      <c r="N342" s="9" t="s">
        <v>2749</v>
      </c>
      <c r="O342" s="9" t="s">
        <v>2711</v>
      </c>
      <c r="P342" s="9" t="s">
        <v>308</v>
      </c>
      <c r="Q342" s="9" t="s">
        <v>2657</v>
      </c>
      <c r="R342" s="9" t="s">
        <v>2712</v>
      </c>
      <c r="S342" s="9" t="s">
        <v>2659</v>
      </c>
    </row>
    <row r="343" customFormat="false" ht="46.25" hidden="false" customHeight="false" outlineLevel="0" collapsed="false">
      <c r="A343" s="16" t="s">
        <v>2750</v>
      </c>
      <c r="B343" s="16" t="s">
        <v>158</v>
      </c>
      <c r="C343" s="9" t="s">
        <v>2738</v>
      </c>
      <c r="D343" s="9" t="s">
        <v>159</v>
      </c>
      <c r="E343" s="9" t="s">
        <v>2751</v>
      </c>
      <c r="F343" s="9" t="s">
        <v>2752</v>
      </c>
      <c r="G343" s="9" t="s">
        <v>559</v>
      </c>
      <c r="H343" s="9" t="s">
        <v>395</v>
      </c>
      <c r="I343" s="9" t="s">
        <v>2753</v>
      </c>
      <c r="J343" s="9" t="s">
        <v>106</v>
      </c>
      <c r="K343" s="9" t="s">
        <v>873</v>
      </c>
      <c r="L343" s="9" t="s">
        <v>2754</v>
      </c>
      <c r="M343" s="9" t="s">
        <v>2717</v>
      </c>
      <c r="N343" s="9" t="s">
        <v>2755</v>
      </c>
      <c r="O343" s="9" t="s">
        <v>2718</v>
      </c>
      <c r="P343" s="9" t="s">
        <v>2719</v>
      </c>
      <c r="Q343" s="9" t="s">
        <v>2657</v>
      </c>
      <c r="R343" s="9" t="s">
        <v>2682</v>
      </c>
      <c r="S343" s="9" t="s">
        <v>2659</v>
      </c>
    </row>
    <row r="344" customFormat="false" ht="46.25" hidden="false" customHeight="false" outlineLevel="0" collapsed="false">
      <c r="A344" s="15" t="s">
        <v>2756</v>
      </c>
      <c r="B344" s="16" t="s">
        <v>158</v>
      </c>
      <c r="C344" s="9" t="s">
        <v>1858</v>
      </c>
      <c r="D344" s="9" t="s">
        <v>159</v>
      </c>
      <c r="E344" s="9" t="s">
        <v>1859</v>
      </c>
      <c r="F344" s="9" t="s">
        <v>2757</v>
      </c>
      <c r="G344" s="9" t="s">
        <v>1043</v>
      </c>
      <c r="H344" s="9" t="s">
        <v>560</v>
      </c>
      <c r="I344" s="9" t="s">
        <v>2758</v>
      </c>
      <c r="J344" s="9" t="s">
        <v>106</v>
      </c>
      <c r="K344" s="9" t="s">
        <v>873</v>
      </c>
      <c r="L344" s="9" t="s">
        <v>2759</v>
      </c>
      <c r="M344" s="9" t="s">
        <v>1148</v>
      </c>
      <c r="N344" s="9" t="s">
        <v>2760</v>
      </c>
      <c r="O344" s="9" t="s">
        <v>2761</v>
      </c>
      <c r="P344" s="9" t="s">
        <v>106</v>
      </c>
      <c r="Q344" s="9" t="s">
        <v>2657</v>
      </c>
      <c r="R344" s="9" t="s">
        <v>2762</v>
      </c>
      <c r="S344" s="9" t="s">
        <v>2659</v>
      </c>
    </row>
    <row r="345" customFormat="false" ht="35.05" hidden="false" customHeight="false" outlineLevel="0" collapsed="false">
      <c r="A345" s="16" t="s">
        <v>2763</v>
      </c>
      <c r="B345" s="16" t="s">
        <v>167</v>
      </c>
      <c r="C345" s="9" t="s">
        <v>690</v>
      </c>
      <c r="D345" s="9" t="s">
        <v>106</v>
      </c>
      <c r="E345" s="9" t="s">
        <v>2707</v>
      </c>
      <c r="F345" s="9" t="s">
        <v>2764</v>
      </c>
      <c r="G345" s="9" t="s">
        <v>705</v>
      </c>
      <c r="H345" s="9" t="s">
        <v>106</v>
      </c>
      <c r="I345" s="9" t="s">
        <v>2765</v>
      </c>
      <c r="J345" s="9" t="s">
        <v>106</v>
      </c>
      <c r="K345" s="9" t="s">
        <v>2766</v>
      </c>
      <c r="L345" s="9" t="s">
        <v>106</v>
      </c>
      <c r="M345" s="9" t="s">
        <v>896</v>
      </c>
      <c r="N345" s="9" t="s">
        <v>2767</v>
      </c>
      <c r="O345" s="9" t="s">
        <v>2768</v>
      </c>
      <c r="P345" s="9" t="s">
        <v>308</v>
      </c>
      <c r="Q345" s="9" t="s">
        <v>1979</v>
      </c>
      <c r="R345" s="9" t="s">
        <v>2769</v>
      </c>
      <c r="S345" s="9" t="s">
        <v>2770</v>
      </c>
    </row>
    <row r="346" customFormat="false" ht="46.25" hidden="false" customHeight="false" outlineLevel="0" collapsed="false">
      <c r="A346" s="16" t="s">
        <v>2771</v>
      </c>
      <c r="B346" s="16" t="s">
        <v>167</v>
      </c>
      <c r="C346" s="9" t="s">
        <v>690</v>
      </c>
      <c r="D346" s="9" t="s">
        <v>106</v>
      </c>
      <c r="E346" s="9" t="s">
        <v>2772</v>
      </c>
      <c r="F346" s="9" t="s">
        <v>2773</v>
      </c>
      <c r="G346" s="9" t="s">
        <v>705</v>
      </c>
      <c r="H346" s="9" t="s">
        <v>106</v>
      </c>
      <c r="I346" s="9" t="s">
        <v>2774</v>
      </c>
      <c r="J346" s="9" t="s">
        <v>106</v>
      </c>
      <c r="K346" s="9" t="s">
        <v>2775</v>
      </c>
      <c r="L346" s="9" t="s">
        <v>106</v>
      </c>
      <c r="M346" s="9" t="s">
        <v>2776</v>
      </c>
      <c r="N346" s="9" t="s">
        <v>2767</v>
      </c>
      <c r="O346" s="9" t="s">
        <v>2777</v>
      </c>
      <c r="P346" s="9" t="s">
        <v>2778</v>
      </c>
      <c r="Q346" s="9" t="s">
        <v>1979</v>
      </c>
      <c r="R346" s="9" t="s">
        <v>2779</v>
      </c>
      <c r="S346" s="9" t="s">
        <v>2770</v>
      </c>
    </row>
    <row r="347" customFormat="false" ht="15" hidden="false" customHeight="false" outlineLevel="0" collapsed="false">
      <c r="A347" s="16" t="s">
        <v>2780</v>
      </c>
      <c r="B347" s="16" t="s">
        <v>167</v>
      </c>
      <c r="C347" s="9" t="s">
        <v>690</v>
      </c>
      <c r="D347" s="9" t="s">
        <v>106</v>
      </c>
      <c r="E347" s="9" t="s">
        <v>2781</v>
      </c>
      <c r="F347" s="9" t="s">
        <v>2782</v>
      </c>
      <c r="G347" s="9" t="s">
        <v>705</v>
      </c>
      <c r="H347" s="9" t="s">
        <v>106</v>
      </c>
      <c r="I347" s="9" t="s">
        <v>2783</v>
      </c>
      <c r="J347" s="9" t="s">
        <v>106</v>
      </c>
      <c r="K347" s="9" t="s">
        <v>2775</v>
      </c>
      <c r="L347" s="9" t="s">
        <v>106</v>
      </c>
      <c r="M347" s="9" t="s">
        <v>2784</v>
      </c>
      <c r="N347" s="9" t="s">
        <v>2767</v>
      </c>
      <c r="O347" s="9" t="s">
        <v>2785</v>
      </c>
      <c r="P347" s="9" t="s">
        <v>729</v>
      </c>
      <c r="Q347" s="9" t="s">
        <v>1979</v>
      </c>
      <c r="R347" s="9" t="s">
        <v>2779</v>
      </c>
      <c r="S347" s="9" t="s">
        <v>171</v>
      </c>
    </row>
    <row r="348" customFormat="false" ht="23.85" hidden="false" customHeight="false" outlineLevel="0" collapsed="false">
      <c r="A348" s="16" t="s">
        <v>2786</v>
      </c>
      <c r="B348" s="16" t="s">
        <v>167</v>
      </c>
      <c r="C348" s="9" t="s">
        <v>690</v>
      </c>
      <c r="D348" s="9" t="s">
        <v>106</v>
      </c>
      <c r="E348" s="9" t="s">
        <v>2787</v>
      </c>
      <c r="F348" s="9" t="s">
        <v>2788</v>
      </c>
      <c r="G348" s="9" t="s">
        <v>705</v>
      </c>
      <c r="H348" s="9" t="s">
        <v>106</v>
      </c>
      <c r="I348" s="9" t="s">
        <v>2789</v>
      </c>
      <c r="J348" s="9" t="s">
        <v>106</v>
      </c>
      <c r="K348" s="9" t="s">
        <v>2775</v>
      </c>
      <c r="L348" s="9" t="s">
        <v>106</v>
      </c>
      <c r="M348" s="9" t="s">
        <v>2790</v>
      </c>
      <c r="N348" s="9" t="s">
        <v>2767</v>
      </c>
      <c r="O348" s="9" t="s">
        <v>2791</v>
      </c>
      <c r="P348" s="9" t="s">
        <v>2792</v>
      </c>
      <c r="Q348" s="9" t="s">
        <v>1979</v>
      </c>
      <c r="R348" s="9" t="s">
        <v>2769</v>
      </c>
      <c r="S348" s="9" t="s">
        <v>171</v>
      </c>
    </row>
    <row r="349" customFormat="false" ht="23.85" hidden="false" customHeight="false" outlineLevel="0" collapsed="false">
      <c r="A349" s="16" t="s">
        <v>2793</v>
      </c>
      <c r="B349" s="16" t="s">
        <v>167</v>
      </c>
      <c r="C349" s="9" t="s">
        <v>690</v>
      </c>
      <c r="D349" s="9" t="s">
        <v>106</v>
      </c>
      <c r="E349" s="9" t="s">
        <v>2794</v>
      </c>
      <c r="F349" s="9" t="s">
        <v>2795</v>
      </c>
      <c r="G349" s="9" t="s">
        <v>2796</v>
      </c>
      <c r="H349" s="9" t="s">
        <v>106</v>
      </c>
      <c r="I349" s="9" t="s">
        <v>2797</v>
      </c>
      <c r="J349" s="9" t="s">
        <v>106</v>
      </c>
      <c r="K349" s="9" t="s">
        <v>2775</v>
      </c>
      <c r="L349" s="9" t="s">
        <v>106</v>
      </c>
      <c r="M349" s="9" t="s">
        <v>106</v>
      </c>
      <c r="N349" s="9" t="s">
        <v>106</v>
      </c>
      <c r="O349" s="9" t="s">
        <v>2798</v>
      </c>
      <c r="P349" s="9" t="s">
        <v>106</v>
      </c>
      <c r="Q349" s="9" t="s">
        <v>1979</v>
      </c>
      <c r="R349" s="9" t="s">
        <v>2769</v>
      </c>
      <c r="S349" s="9" t="s">
        <v>171</v>
      </c>
    </row>
    <row r="350" customFormat="false" ht="23.85" hidden="false" customHeight="false" outlineLevel="0" collapsed="false">
      <c r="A350" s="16" t="s">
        <v>2799</v>
      </c>
      <c r="B350" s="16" t="s">
        <v>167</v>
      </c>
      <c r="C350" s="9" t="s">
        <v>690</v>
      </c>
      <c r="D350" s="9" t="s">
        <v>106</v>
      </c>
      <c r="E350" s="9" t="s">
        <v>2800</v>
      </c>
      <c r="F350" s="9" t="s">
        <v>2801</v>
      </c>
      <c r="G350" s="9" t="s">
        <v>693</v>
      </c>
      <c r="H350" s="9" t="s">
        <v>395</v>
      </c>
      <c r="I350" s="9" t="s">
        <v>106</v>
      </c>
      <c r="J350" s="9" t="s">
        <v>2802</v>
      </c>
      <c r="K350" s="9" t="s">
        <v>2775</v>
      </c>
      <c r="L350" s="9" t="s">
        <v>2803</v>
      </c>
      <c r="M350" s="9" t="s">
        <v>2804</v>
      </c>
      <c r="N350" s="9" t="s">
        <v>2767</v>
      </c>
      <c r="O350" s="9" t="s">
        <v>2805</v>
      </c>
      <c r="P350" s="9" t="s">
        <v>308</v>
      </c>
      <c r="Q350" s="9" t="s">
        <v>1979</v>
      </c>
      <c r="R350" s="9" t="s">
        <v>2779</v>
      </c>
      <c r="S350" s="9" t="s">
        <v>171</v>
      </c>
    </row>
    <row r="351" customFormat="false" ht="35.05" hidden="false" customHeight="false" outlineLevel="0" collapsed="false">
      <c r="A351" s="16" t="s">
        <v>2806</v>
      </c>
      <c r="B351" s="16" t="s">
        <v>167</v>
      </c>
      <c r="C351" s="9" t="s">
        <v>2807</v>
      </c>
      <c r="D351" s="9" t="s">
        <v>106</v>
      </c>
      <c r="E351" s="9" t="s">
        <v>2808</v>
      </c>
      <c r="F351" s="9" t="s">
        <v>2809</v>
      </c>
      <c r="G351" s="9" t="s">
        <v>2810</v>
      </c>
      <c r="H351" s="9" t="s">
        <v>560</v>
      </c>
      <c r="I351" s="9" t="s">
        <v>2811</v>
      </c>
      <c r="J351" s="9" t="s">
        <v>106</v>
      </c>
      <c r="K351" s="9" t="s">
        <v>2812</v>
      </c>
      <c r="L351" s="9" t="s">
        <v>2813</v>
      </c>
      <c r="M351" s="9" t="s">
        <v>2814</v>
      </c>
      <c r="N351" s="9" t="s">
        <v>2815</v>
      </c>
      <c r="O351" s="9" t="s">
        <v>2768</v>
      </c>
      <c r="P351" s="9" t="s">
        <v>308</v>
      </c>
      <c r="Q351" s="9" t="s">
        <v>1979</v>
      </c>
      <c r="R351" s="9" t="s">
        <v>175</v>
      </c>
      <c r="S351" s="9" t="s">
        <v>2816</v>
      </c>
    </row>
    <row r="352" customFormat="false" ht="23.85" hidden="false" customHeight="false" outlineLevel="0" collapsed="false">
      <c r="A352" s="16" t="s">
        <v>2817</v>
      </c>
      <c r="B352" s="16" t="s">
        <v>167</v>
      </c>
      <c r="C352" s="9" t="s">
        <v>2807</v>
      </c>
      <c r="D352" s="9" t="s">
        <v>106</v>
      </c>
      <c r="E352" s="9" t="s">
        <v>2818</v>
      </c>
      <c r="F352" s="9" t="s">
        <v>2819</v>
      </c>
      <c r="G352" s="9" t="s">
        <v>1043</v>
      </c>
      <c r="H352" s="9" t="s">
        <v>560</v>
      </c>
      <c r="I352" s="9" t="s">
        <v>2820</v>
      </c>
      <c r="J352" s="9" t="s">
        <v>106</v>
      </c>
      <c r="K352" s="9" t="s">
        <v>2812</v>
      </c>
      <c r="L352" s="9" t="s">
        <v>1087</v>
      </c>
      <c r="M352" s="9" t="s">
        <v>1148</v>
      </c>
      <c r="N352" s="9" t="s">
        <v>2815</v>
      </c>
      <c r="O352" s="9" t="s">
        <v>2821</v>
      </c>
      <c r="P352" s="9" t="s">
        <v>308</v>
      </c>
      <c r="Q352" s="9" t="s">
        <v>1979</v>
      </c>
      <c r="R352" s="9" t="s">
        <v>2769</v>
      </c>
      <c r="S352" s="9" t="s">
        <v>171</v>
      </c>
    </row>
    <row r="353" customFormat="false" ht="23.85" hidden="false" customHeight="false" outlineLevel="0" collapsed="false">
      <c r="A353" s="16" t="s">
        <v>2822</v>
      </c>
      <c r="B353" s="16" t="s">
        <v>167</v>
      </c>
      <c r="C353" s="9" t="s">
        <v>2823</v>
      </c>
      <c r="D353" s="9" t="s">
        <v>106</v>
      </c>
      <c r="E353" s="9" t="s">
        <v>2824</v>
      </c>
      <c r="F353" s="9" t="s">
        <v>2825</v>
      </c>
      <c r="G353" s="9" t="s">
        <v>1043</v>
      </c>
      <c r="H353" s="9" t="s">
        <v>560</v>
      </c>
      <c r="I353" s="9" t="s">
        <v>2826</v>
      </c>
      <c r="J353" s="9" t="s">
        <v>106</v>
      </c>
      <c r="K353" s="9" t="s">
        <v>2812</v>
      </c>
      <c r="L353" s="9" t="s">
        <v>1087</v>
      </c>
      <c r="M353" s="9" t="s">
        <v>1148</v>
      </c>
      <c r="N353" s="9" t="s">
        <v>2827</v>
      </c>
      <c r="O353" s="9" t="s">
        <v>2828</v>
      </c>
      <c r="P353" s="9" t="s">
        <v>308</v>
      </c>
      <c r="Q353" s="9" t="s">
        <v>1979</v>
      </c>
      <c r="R353" s="9" t="s">
        <v>2769</v>
      </c>
      <c r="S353" s="9" t="s">
        <v>171</v>
      </c>
    </row>
    <row r="354" customFormat="false" ht="35.05" hidden="false" customHeight="false" outlineLevel="0" collapsed="false">
      <c r="A354" s="16" t="s">
        <v>2829</v>
      </c>
      <c r="B354" s="16" t="s">
        <v>192</v>
      </c>
      <c r="C354" s="9" t="s">
        <v>458</v>
      </c>
      <c r="D354" s="9" t="s">
        <v>106</v>
      </c>
      <c r="E354" s="9" t="s">
        <v>2830</v>
      </c>
      <c r="F354" s="9" t="s">
        <v>2831</v>
      </c>
      <c r="G354" s="9" t="s">
        <v>2832</v>
      </c>
      <c r="H354" s="9" t="s">
        <v>2833</v>
      </c>
      <c r="I354" s="9" t="s">
        <v>2834</v>
      </c>
      <c r="J354" s="9" t="s">
        <v>106</v>
      </c>
      <c r="K354" s="9" t="s">
        <v>281</v>
      </c>
      <c r="L354" s="9" t="s">
        <v>106</v>
      </c>
      <c r="M354" s="9" t="s">
        <v>2835</v>
      </c>
      <c r="N354" s="9" t="s">
        <v>385</v>
      </c>
      <c r="O354" s="9" t="s">
        <v>2836</v>
      </c>
      <c r="P354" s="9" t="s">
        <v>308</v>
      </c>
      <c r="Q354" s="9" t="s">
        <v>547</v>
      </c>
      <c r="R354" s="9" t="s">
        <v>106</v>
      </c>
      <c r="S354" s="9" t="s">
        <v>2837</v>
      </c>
    </row>
    <row r="355" customFormat="false" ht="23.85" hidden="false" customHeight="false" outlineLevel="0" collapsed="false">
      <c r="A355" s="16" t="s">
        <v>2838</v>
      </c>
      <c r="B355" s="16" t="s">
        <v>216</v>
      </c>
      <c r="C355" s="9" t="s">
        <v>1607</v>
      </c>
      <c r="D355" s="9" t="s">
        <v>106</v>
      </c>
      <c r="E355" s="9" t="s">
        <v>2839</v>
      </c>
      <c r="F355" s="9" t="s">
        <v>2840</v>
      </c>
      <c r="G355" s="9" t="s">
        <v>2841</v>
      </c>
      <c r="H355" s="9" t="s">
        <v>395</v>
      </c>
      <c r="I355" s="9" t="s">
        <v>2842</v>
      </c>
      <c r="J355" s="9" t="s">
        <v>2802</v>
      </c>
      <c r="K355" s="9" t="s">
        <v>696</v>
      </c>
      <c r="L355" s="9" t="s">
        <v>106</v>
      </c>
      <c r="M355" s="9" t="s">
        <v>2487</v>
      </c>
      <c r="N355" s="9" t="s">
        <v>220</v>
      </c>
      <c r="O355" s="9" t="s">
        <v>2843</v>
      </c>
      <c r="P355" s="9" t="s">
        <v>308</v>
      </c>
      <c r="Q355" s="9" t="s">
        <v>700</v>
      </c>
      <c r="R355" s="9" t="s">
        <v>2844</v>
      </c>
      <c r="S355" s="9" t="s">
        <v>2845</v>
      </c>
    </row>
    <row r="356" customFormat="false" ht="23.85" hidden="false" customHeight="false" outlineLevel="0" collapsed="false">
      <c r="A356" s="16" t="s">
        <v>2846</v>
      </c>
      <c r="B356" s="16" t="s">
        <v>224</v>
      </c>
      <c r="C356" s="9" t="s">
        <v>767</v>
      </c>
      <c r="D356" s="9" t="s">
        <v>106</v>
      </c>
      <c r="E356" s="9" t="s">
        <v>768</v>
      </c>
      <c r="F356" s="9" t="s">
        <v>2847</v>
      </c>
      <c r="G356" s="9" t="s">
        <v>741</v>
      </c>
      <c r="H356" s="9" t="s">
        <v>106</v>
      </c>
      <c r="I356" s="9" t="s">
        <v>2848</v>
      </c>
      <c r="J356" s="9" t="s">
        <v>106</v>
      </c>
      <c r="K356" s="9" t="s">
        <v>2849</v>
      </c>
      <c r="L356" s="9" t="s">
        <v>106</v>
      </c>
      <c r="M356" s="9" t="s">
        <v>106</v>
      </c>
      <c r="N356" s="9" t="s">
        <v>106</v>
      </c>
      <c r="O356" s="9" t="s">
        <v>106</v>
      </c>
      <c r="P356" s="9" t="s">
        <v>106</v>
      </c>
      <c r="Q356" s="9" t="s">
        <v>2850</v>
      </c>
      <c r="R356" s="9" t="s">
        <v>2851</v>
      </c>
      <c r="S356" s="9" t="s">
        <v>2852</v>
      </c>
    </row>
    <row r="357" customFormat="false" ht="46.25" hidden="false" customHeight="false" outlineLevel="0" collapsed="false">
      <c r="A357" s="16" t="s">
        <v>2853</v>
      </c>
      <c r="B357" s="16" t="s">
        <v>224</v>
      </c>
      <c r="C357" s="9" t="s">
        <v>2854</v>
      </c>
      <c r="D357" s="9" t="s">
        <v>106</v>
      </c>
      <c r="E357" s="9" t="s">
        <v>2855</v>
      </c>
      <c r="F357" s="9" t="s">
        <v>2856</v>
      </c>
      <c r="G357" s="9" t="s">
        <v>293</v>
      </c>
      <c r="H357" s="9" t="s">
        <v>106</v>
      </c>
      <c r="I357" s="9" t="s">
        <v>2857</v>
      </c>
      <c r="J357" s="9" t="s">
        <v>106</v>
      </c>
      <c r="K357" s="9" t="s">
        <v>2858</v>
      </c>
      <c r="L357" s="9" t="s">
        <v>2859</v>
      </c>
      <c r="M357" s="9" t="s">
        <v>2860</v>
      </c>
      <c r="N357" s="9" t="s">
        <v>2861</v>
      </c>
      <c r="O357" s="9" t="s">
        <v>2862</v>
      </c>
      <c r="P357" s="9" t="s">
        <v>1000</v>
      </c>
      <c r="Q357" s="9" t="s">
        <v>2863</v>
      </c>
      <c r="R357" s="9" t="s">
        <v>2864</v>
      </c>
      <c r="S357" s="9" t="s">
        <v>2865</v>
      </c>
    </row>
    <row r="358" customFormat="false" ht="68.65" hidden="false" customHeight="false" outlineLevel="0" collapsed="false">
      <c r="A358" s="16" t="s">
        <v>2866</v>
      </c>
      <c r="B358" s="16" t="s">
        <v>224</v>
      </c>
      <c r="C358" s="9" t="s">
        <v>2867</v>
      </c>
      <c r="D358" s="9" t="s">
        <v>106</v>
      </c>
      <c r="E358" s="9" t="s">
        <v>2868</v>
      </c>
      <c r="F358" s="9" t="s">
        <v>2869</v>
      </c>
      <c r="G358" s="9" t="s">
        <v>293</v>
      </c>
      <c r="H358" s="9" t="s">
        <v>106</v>
      </c>
      <c r="I358" s="9" t="s">
        <v>2870</v>
      </c>
      <c r="J358" s="9" t="s">
        <v>106</v>
      </c>
      <c r="K358" s="9" t="s">
        <v>2871</v>
      </c>
      <c r="L358" s="9" t="s">
        <v>106</v>
      </c>
      <c r="M358" s="9" t="s">
        <v>2872</v>
      </c>
      <c r="N358" s="9" t="s">
        <v>2861</v>
      </c>
      <c r="O358" s="9" t="s">
        <v>2873</v>
      </c>
      <c r="P358" s="9" t="s">
        <v>2874</v>
      </c>
      <c r="Q358" s="9" t="s">
        <v>2875</v>
      </c>
      <c r="R358" s="9" t="s">
        <v>2876</v>
      </c>
      <c r="S358" s="9" t="s">
        <v>227</v>
      </c>
    </row>
    <row r="359" customFormat="false" ht="23.85" hidden="false" customHeight="false" outlineLevel="0" collapsed="false">
      <c r="A359" s="16" t="s">
        <v>2877</v>
      </c>
      <c r="B359" s="16" t="s">
        <v>208</v>
      </c>
      <c r="C359" s="9" t="s">
        <v>2878</v>
      </c>
      <c r="D359" s="9" t="s">
        <v>106</v>
      </c>
      <c r="E359" s="9" t="s">
        <v>2879</v>
      </c>
      <c r="F359" s="9" t="s">
        <v>2880</v>
      </c>
      <c r="G359" s="9" t="s">
        <v>2881</v>
      </c>
      <c r="H359" s="9" t="s">
        <v>106</v>
      </c>
      <c r="I359" s="9" t="s">
        <v>2882</v>
      </c>
      <c r="J359" s="9" t="s">
        <v>397</v>
      </c>
      <c r="K359" s="9" t="s">
        <v>2849</v>
      </c>
      <c r="L359" s="9" t="s">
        <v>106</v>
      </c>
      <c r="M359" s="9" t="s">
        <v>2883</v>
      </c>
      <c r="N359" s="9" t="s">
        <v>212</v>
      </c>
      <c r="O359" s="9" t="s">
        <v>2884</v>
      </c>
      <c r="P359" s="9" t="s">
        <v>401</v>
      </c>
      <c r="Q359" s="9" t="s">
        <v>2885</v>
      </c>
      <c r="R359" s="9" t="s">
        <v>2886</v>
      </c>
      <c r="S359" s="9" t="s">
        <v>2887</v>
      </c>
    </row>
    <row r="360" customFormat="false" ht="23.85" hidden="false" customHeight="false" outlineLevel="0" collapsed="false">
      <c r="A360" s="16" t="s">
        <v>2888</v>
      </c>
      <c r="B360" s="16" t="s">
        <v>247</v>
      </c>
      <c r="C360" s="9" t="s">
        <v>458</v>
      </c>
      <c r="D360" s="9" t="s">
        <v>106</v>
      </c>
      <c r="E360" s="9" t="s">
        <v>2889</v>
      </c>
      <c r="F360" s="9" t="s">
        <v>2890</v>
      </c>
      <c r="G360" s="9" t="s">
        <v>559</v>
      </c>
      <c r="H360" s="9" t="s">
        <v>560</v>
      </c>
      <c r="I360" s="9" t="s">
        <v>2891</v>
      </c>
      <c r="J360" s="9" t="s">
        <v>2892</v>
      </c>
      <c r="K360" s="9" t="s">
        <v>2893</v>
      </c>
      <c r="L360" s="9" t="s">
        <v>106</v>
      </c>
      <c r="M360" s="9" t="s">
        <v>2894</v>
      </c>
      <c r="N360" s="9" t="s">
        <v>251</v>
      </c>
      <c r="O360" s="9" t="s">
        <v>2895</v>
      </c>
      <c r="P360" s="9" t="s">
        <v>1563</v>
      </c>
      <c r="Q360" s="9" t="s">
        <v>2896</v>
      </c>
      <c r="R360" s="9" t="s">
        <v>253</v>
      </c>
      <c r="S360" s="9" t="s">
        <v>2897</v>
      </c>
    </row>
    <row r="361" customFormat="false" ht="35.05" hidden="false" customHeight="false" outlineLevel="0" collapsed="false">
      <c r="A361" s="16" t="s">
        <v>2898</v>
      </c>
      <c r="B361" s="16" t="s">
        <v>247</v>
      </c>
      <c r="C361" s="9" t="s">
        <v>458</v>
      </c>
      <c r="D361" s="9" t="s">
        <v>106</v>
      </c>
      <c r="E361" s="9" t="s">
        <v>2899</v>
      </c>
      <c r="F361" s="9" t="s">
        <v>2900</v>
      </c>
      <c r="G361" s="9" t="s">
        <v>2901</v>
      </c>
      <c r="H361" s="9" t="s">
        <v>2902</v>
      </c>
      <c r="I361" s="9" t="s">
        <v>2903</v>
      </c>
      <c r="J361" s="9" t="s">
        <v>106</v>
      </c>
      <c r="K361" s="9" t="s">
        <v>2893</v>
      </c>
      <c r="L361" s="9" t="s">
        <v>2904</v>
      </c>
      <c r="M361" s="9" t="s">
        <v>2905</v>
      </c>
      <c r="N361" s="9" t="s">
        <v>2906</v>
      </c>
      <c r="O361" s="9" t="s">
        <v>2907</v>
      </c>
      <c r="P361" s="9" t="s">
        <v>308</v>
      </c>
      <c r="Q361" s="9" t="s">
        <v>2896</v>
      </c>
      <c r="R361" s="9" t="s">
        <v>253</v>
      </c>
      <c r="S361" s="9" t="s">
        <v>2897</v>
      </c>
    </row>
    <row r="362" customFormat="false" ht="23.85" hidden="false" customHeight="false" outlineLevel="0" collapsed="false">
      <c r="A362" s="16" t="s">
        <v>2908</v>
      </c>
      <c r="B362" s="16" t="s">
        <v>254</v>
      </c>
      <c r="C362" s="9" t="s">
        <v>458</v>
      </c>
      <c r="D362" s="9" t="s">
        <v>106</v>
      </c>
      <c r="E362" s="9" t="s">
        <v>2909</v>
      </c>
      <c r="F362" s="9" t="s">
        <v>2910</v>
      </c>
      <c r="G362" s="9" t="s">
        <v>2911</v>
      </c>
      <c r="H362" s="9" t="s">
        <v>2912</v>
      </c>
      <c r="I362" s="9" t="s">
        <v>2913</v>
      </c>
      <c r="J362" s="9" t="s">
        <v>106</v>
      </c>
      <c r="K362" s="9" t="s">
        <v>2893</v>
      </c>
      <c r="L362" s="9" t="s">
        <v>106</v>
      </c>
      <c r="M362" s="9" t="s">
        <v>2914</v>
      </c>
      <c r="N362" s="9" t="s">
        <v>2915</v>
      </c>
      <c r="O362" s="9" t="s">
        <v>2916</v>
      </c>
      <c r="P362" s="9" t="s">
        <v>904</v>
      </c>
      <c r="Q362" s="9" t="s">
        <v>2917</v>
      </c>
      <c r="R362" s="9" t="s">
        <v>1657</v>
      </c>
      <c r="S362" s="9" t="s">
        <v>2897</v>
      </c>
    </row>
    <row r="363" customFormat="false" ht="46.25" hidden="false" customHeight="false" outlineLevel="0" collapsed="false">
      <c r="A363" s="16" t="s">
        <v>2918</v>
      </c>
      <c r="B363" s="16" t="s">
        <v>254</v>
      </c>
      <c r="C363" s="9" t="s">
        <v>458</v>
      </c>
      <c r="D363" s="9" t="s">
        <v>106</v>
      </c>
      <c r="E363" s="9" t="s">
        <v>2565</v>
      </c>
      <c r="F363" s="9" t="s">
        <v>2919</v>
      </c>
      <c r="G363" s="9" t="s">
        <v>559</v>
      </c>
      <c r="H363" s="9" t="s">
        <v>2920</v>
      </c>
      <c r="I363" s="9" t="s">
        <v>2921</v>
      </c>
      <c r="J363" s="9" t="s">
        <v>106</v>
      </c>
      <c r="K363" s="9" t="s">
        <v>2893</v>
      </c>
      <c r="L363" s="9" t="s">
        <v>106</v>
      </c>
      <c r="M363" s="9" t="s">
        <v>2922</v>
      </c>
      <c r="N363" s="9" t="s">
        <v>2923</v>
      </c>
      <c r="O363" s="9" t="s">
        <v>1725</v>
      </c>
      <c r="P363" s="9" t="s">
        <v>308</v>
      </c>
      <c r="Q363" s="9" t="s">
        <v>1726</v>
      </c>
      <c r="R363" s="9" t="s">
        <v>1757</v>
      </c>
      <c r="S363" s="9" t="s">
        <v>2924</v>
      </c>
    </row>
    <row r="364" customFormat="false" ht="23.85" hidden="false" customHeight="false" outlineLevel="0" collapsed="false">
      <c r="A364" s="16" t="s">
        <v>2925</v>
      </c>
      <c r="B364" s="16" t="s">
        <v>254</v>
      </c>
      <c r="C364" s="9" t="s">
        <v>458</v>
      </c>
      <c r="D364" s="9" t="s">
        <v>106</v>
      </c>
      <c r="E364" s="9" t="s">
        <v>2926</v>
      </c>
      <c r="F364" s="9" t="s">
        <v>2927</v>
      </c>
      <c r="G364" s="9" t="s">
        <v>559</v>
      </c>
      <c r="H364" s="9" t="s">
        <v>2928</v>
      </c>
      <c r="I364" s="9" t="s">
        <v>2929</v>
      </c>
      <c r="J364" s="9" t="s">
        <v>106</v>
      </c>
      <c r="K364" s="9" t="s">
        <v>2893</v>
      </c>
      <c r="L364" s="9" t="s">
        <v>106</v>
      </c>
      <c r="M364" s="9" t="s">
        <v>2930</v>
      </c>
      <c r="N364" s="9" t="s">
        <v>2931</v>
      </c>
      <c r="O364" s="9" t="s">
        <v>1747</v>
      </c>
      <c r="P364" s="9" t="s">
        <v>308</v>
      </c>
      <c r="Q364" s="9" t="s">
        <v>1726</v>
      </c>
      <c r="R364" s="9" t="s">
        <v>1757</v>
      </c>
      <c r="S364" s="9" t="s">
        <v>2932</v>
      </c>
    </row>
    <row r="365" customFormat="false" ht="46.25" hidden="false" customHeight="false" outlineLevel="0" collapsed="false">
      <c r="A365" s="16" t="s">
        <v>2933</v>
      </c>
      <c r="B365" s="16" t="s">
        <v>58</v>
      </c>
      <c r="C365" s="9" t="s">
        <v>1620</v>
      </c>
      <c r="D365" s="9" t="s">
        <v>1621</v>
      </c>
      <c r="E365" s="9" t="s">
        <v>2934</v>
      </c>
      <c r="F365" s="9" t="s">
        <v>2935</v>
      </c>
      <c r="G365" s="9" t="s">
        <v>965</v>
      </c>
      <c r="H365" s="9" t="s">
        <v>560</v>
      </c>
      <c r="I365" s="9" t="s">
        <v>2936</v>
      </c>
      <c r="J365" s="9" t="s">
        <v>106</v>
      </c>
      <c r="K365" s="9" t="s">
        <v>873</v>
      </c>
      <c r="L365" s="9" t="s">
        <v>106</v>
      </c>
      <c r="M365" s="9" t="s">
        <v>2937</v>
      </c>
      <c r="N365" s="9" t="s">
        <v>1626</v>
      </c>
      <c r="O365" s="9" t="s">
        <v>2938</v>
      </c>
      <c r="P365" s="9" t="s">
        <v>308</v>
      </c>
      <c r="Q365" s="9" t="s">
        <v>1550</v>
      </c>
      <c r="R365" s="9" t="s">
        <v>2939</v>
      </c>
      <c r="S365" s="9" t="s">
        <v>2940</v>
      </c>
    </row>
    <row r="366" customFormat="false" ht="46.25" hidden="false" customHeight="false" outlineLevel="0" collapsed="false">
      <c r="A366" s="16" t="s">
        <v>2941</v>
      </c>
      <c r="B366" s="16" t="s">
        <v>58</v>
      </c>
      <c r="C366" s="9" t="s">
        <v>1620</v>
      </c>
      <c r="D366" s="9" t="s">
        <v>1621</v>
      </c>
      <c r="E366" s="9" t="s">
        <v>1565</v>
      </c>
      <c r="F366" s="9" t="s">
        <v>2942</v>
      </c>
      <c r="G366" s="9" t="s">
        <v>559</v>
      </c>
      <c r="H366" s="9" t="s">
        <v>560</v>
      </c>
      <c r="I366" s="9" t="s">
        <v>2943</v>
      </c>
      <c r="J366" s="9" t="s">
        <v>106</v>
      </c>
      <c r="K366" s="9" t="s">
        <v>873</v>
      </c>
      <c r="L366" s="9" t="s">
        <v>106</v>
      </c>
      <c r="M366" s="9" t="s">
        <v>2944</v>
      </c>
      <c r="N366" s="9" t="s">
        <v>1626</v>
      </c>
      <c r="O366" s="9" t="s">
        <v>1569</v>
      </c>
      <c r="P366" s="9" t="s">
        <v>308</v>
      </c>
      <c r="Q366" s="9" t="s">
        <v>1550</v>
      </c>
      <c r="R366" s="9" t="s">
        <v>1570</v>
      </c>
      <c r="S366" s="9" t="s">
        <v>2940</v>
      </c>
    </row>
    <row r="367" customFormat="false" ht="46.25" hidden="false" customHeight="false" outlineLevel="0" collapsed="false">
      <c r="A367" s="16" t="s">
        <v>2945</v>
      </c>
      <c r="B367" s="16" t="s">
        <v>58</v>
      </c>
      <c r="C367" s="9" t="s">
        <v>1620</v>
      </c>
      <c r="D367" s="9" t="s">
        <v>1621</v>
      </c>
      <c r="E367" s="9" t="s">
        <v>1591</v>
      </c>
      <c r="F367" s="9" t="s">
        <v>2946</v>
      </c>
      <c r="G367" s="9" t="s">
        <v>559</v>
      </c>
      <c r="H367" s="9" t="s">
        <v>560</v>
      </c>
      <c r="I367" s="9" t="s">
        <v>2947</v>
      </c>
      <c r="J367" s="9" t="s">
        <v>106</v>
      </c>
      <c r="K367" s="9" t="s">
        <v>873</v>
      </c>
      <c r="L367" s="9" t="s">
        <v>106</v>
      </c>
      <c r="M367" s="9" t="s">
        <v>593</v>
      </c>
      <c r="N367" s="9" t="s">
        <v>1626</v>
      </c>
      <c r="O367" s="9" t="s">
        <v>594</v>
      </c>
      <c r="P367" s="9" t="s">
        <v>595</v>
      </c>
      <c r="Q367" s="9" t="s">
        <v>1550</v>
      </c>
      <c r="R367" s="9" t="s">
        <v>2939</v>
      </c>
      <c r="S367" s="9" t="s">
        <v>2940</v>
      </c>
    </row>
    <row r="368" customFormat="false" ht="46.25" hidden="false" customHeight="false" outlineLevel="0" collapsed="false">
      <c r="A368" s="16" t="s">
        <v>2948</v>
      </c>
      <c r="B368" s="16" t="s">
        <v>58</v>
      </c>
      <c r="C368" s="9" t="s">
        <v>1620</v>
      </c>
      <c r="D368" s="9" t="s">
        <v>1621</v>
      </c>
      <c r="E368" s="9" t="s">
        <v>1595</v>
      </c>
      <c r="F368" s="9" t="s">
        <v>2949</v>
      </c>
      <c r="G368" s="9" t="s">
        <v>559</v>
      </c>
      <c r="H368" s="9" t="s">
        <v>560</v>
      </c>
      <c r="I368" s="9" t="s">
        <v>2950</v>
      </c>
      <c r="J368" s="9" t="s">
        <v>106</v>
      </c>
      <c r="K368" s="9" t="s">
        <v>873</v>
      </c>
      <c r="L368" s="9" t="s">
        <v>106</v>
      </c>
      <c r="M368" s="9" t="s">
        <v>2951</v>
      </c>
      <c r="N368" s="9" t="s">
        <v>1626</v>
      </c>
      <c r="O368" s="9" t="s">
        <v>1598</v>
      </c>
      <c r="P368" s="9" t="s">
        <v>595</v>
      </c>
      <c r="Q368" s="9" t="s">
        <v>1550</v>
      </c>
      <c r="R368" s="9" t="s">
        <v>2939</v>
      </c>
      <c r="S368" s="9" t="s">
        <v>2940</v>
      </c>
    </row>
    <row r="369" customFormat="false" ht="46.25" hidden="false" customHeight="false" outlineLevel="0" collapsed="false">
      <c r="A369" s="16" t="s">
        <v>2952</v>
      </c>
      <c r="B369" s="16" t="s">
        <v>58</v>
      </c>
      <c r="C369" s="9" t="s">
        <v>1620</v>
      </c>
      <c r="D369" s="9" t="s">
        <v>1621</v>
      </c>
      <c r="E369" s="9" t="s">
        <v>1601</v>
      </c>
      <c r="F369" s="9" t="s">
        <v>2953</v>
      </c>
      <c r="G369" s="9" t="s">
        <v>559</v>
      </c>
      <c r="H369" s="9" t="s">
        <v>560</v>
      </c>
      <c r="I369" s="9" t="s">
        <v>2954</v>
      </c>
      <c r="J369" s="9" t="s">
        <v>106</v>
      </c>
      <c r="K369" s="9" t="s">
        <v>873</v>
      </c>
      <c r="L369" s="9" t="s">
        <v>106</v>
      </c>
      <c r="M369" s="9" t="s">
        <v>2955</v>
      </c>
      <c r="N369" s="9" t="s">
        <v>1626</v>
      </c>
      <c r="O369" s="9" t="s">
        <v>1605</v>
      </c>
      <c r="P369" s="9" t="s">
        <v>308</v>
      </c>
      <c r="Q369" s="9" t="s">
        <v>1550</v>
      </c>
      <c r="R369" s="9" t="s">
        <v>2939</v>
      </c>
      <c r="S369" s="9" t="s">
        <v>2940</v>
      </c>
    </row>
    <row r="370" customFormat="false" ht="23.85" hidden="false" customHeight="false" outlineLevel="0" collapsed="false">
      <c r="A370" s="16" t="s">
        <v>2956</v>
      </c>
      <c r="B370" s="16" t="s">
        <v>58</v>
      </c>
      <c r="C370" s="9" t="s">
        <v>2957</v>
      </c>
      <c r="D370" s="9" t="s">
        <v>2958</v>
      </c>
      <c r="E370" s="9" t="s">
        <v>1591</v>
      </c>
      <c r="F370" s="9" t="s">
        <v>2959</v>
      </c>
      <c r="G370" s="9" t="s">
        <v>705</v>
      </c>
      <c r="H370" s="9" t="s">
        <v>106</v>
      </c>
      <c r="I370" s="9" t="s">
        <v>2960</v>
      </c>
      <c r="J370" s="9" t="s">
        <v>106</v>
      </c>
      <c r="K370" s="9" t="s">
        <v>2961</v>
      </c>
      <c r="L370" s="9" t="s">
        <v>106</v>
      </c>
      <c r="M370" s="9" t="s">
        <v>2962</v>
      </c>
      <c r="N370" s="9" t="s">
        <v>2963</v>
      </c>
      <c r="O370" s="9" t="s">
        <v>2964</v>
      </c>
      <c r="P370" s="9" t="s">
        <v>595</v>
      </c>
      <c r="Q370" s="9" t="s">
        <v>1328</v>
      </c>
      <c r="R370" s="9" t="s">
        <v>2965</v>
      </c>
      <c r="S370" s="9" t="s">
        <v>2966</v>
      </c>
    </row>
    <row r="371" customFormat="false" ht="23.85" hidden="false" customHeight="false" outlineLevel="0" collapsed="false">
      <c r="A371" s="16" t="s">
        <v>2967</v>
      </c>
      <c r="B371" s="16" t="s">
        <v>58</v>
      </c>
      <c r="C371" s="9" t="s">
        <v>2957</v>
      </c>
      <c r="D371" s="9" t="s">
        <v>2958</v>
      </c>
      <c r="E371" s="9" t="s">
        <v>2968</v>
      </c>
      <c r="F371" s="9" t="s">
        <v>2969</v>
      </c>
      <c r="G371" s="9" t="s">
        <v>705</v>
      </c>
      <c r="H371" s="9" t="s">
        <v>106</v>
      </c>
      <c r="I371" s="9" t="s">
        <v>2970</v>
      </c>
      <c r="J371" s="9" t="s">
        <v>106</v>
      </c>
      <c r="K371" s="9" t="s">
        <v>2961</v>
      </c>
      <c r="L371" s="9" t="s">
        <v>106</v>
      </c>
      <c r="M371" s="9" t="s">
        <v>2971</v>
      </c>
      <c r="N371" s="9" t="s">
        <v>2963</v>
      </c>
      <c r="O371" s="9" t="s">
        <v>2972</v>
      </c>
      <c r="P371" s="9" t="s">
        <v>2973</v>
      </c>
      <c r="Q371" s="9" t="s">
        <v>1328</v>
      </c>
      <c r="R371" s="9" t="s">
        <v>2965</v>
      </c>
      <c r="S371" s="9" t="s">
        <v>2974</v>
      </c>
    </row>
    <row r="372" customFormat="false" ht="23.85" hidden="false" customHeight="false" outlineLevel="0" collapsed="false">
      <c r="A372" s="16" t="s">
        <v>2975</v>
      </c>
      <c r="B372" s="16" t="s">
        <v>58</v>
      </c>
      <c r="C372" s="9" t="s">
        <v>2957</v>
      </c>
      <c r="D372" s="9" t="s">
        <v>2958</v>
      </c>
      <c r="E372" s="9" t="s">
        <v>2976</v>
      </c>
      <c r="F372" s="9" t="s">
        <v>2977</v>
      </c>
      <c r="G372" s="9" t="s">
        <v>705</v>
      </c>
      <c r="H372" s="9" t="s">
        <v>106</v>
      </c>
      <c r="I372" s="9" t="s">
        <v>2978</v>
      </c>
      <c r="J372" s="9" t="s">
        <v>106</v>
      </c>
      <c r="K372" s="9" t="s">
        <v>2961</v>
      </c>
      <c r="L372" s="9" t="s">
        <v>106</v>
      </c>
      <c r="M372" s="9" t="s">
        <v>2979</v>
      </c>
      <c r="N372" s="9" t="s">
        <v>2963</v>
      </c>
      <c r="O372" s="9" t="s">
        <v>2980</v>
      </c>
      <c r="P372" s="9" t="s">
        <v>2981</v>
      </c>
      <c r="Q372" s="9" t="s">
        <v>1328</v>
      </c>
      <c r="R372" s="9" t="s">
        <v>2965</v>
      </c>
      <c r="S372" s="9" t="s">
        <v>2974</v>
      </c>
    </row>
    <row r="373" customFormat="false" ht="23.85" hidden="false" customHeight="false" outlineLevel="0" collapsed="false">
      <c r="A373" s="16" t="s">
        <v>2982</v>
      </c>
      <c r="B373" s="16" t="s">
        <v>58</v>
      </c>
      <c r="C373" s="9" t="s">
        <v>2957</v>
      </c>
      <c r="D373" s="9" t="s">
        <v>2958</v>
      </c>
      <c r="E373" s="9" t="s">
        <v>2983</v>
      </c>
      <c r="F373" s="9" t="s">
        <v>2984</v>
      </c>
      <c r="G373" s="9" t="s">
        <v>705</v>
      </c>
      <c r="H373" s="9" t="s">
        <v>106</v>
      </c>
      <c r="I373" s="9" t="s">
        <v>2985</v>
      </c>
      <c r="J373" s="9" t="s">
        <v>106</v>
      </c>
      <c r="K373" s="9" t="s">
        <v>2961</v>
      </c>
      <c r="L373" s="9" t="s">
        <v>106</v>
      </c>
      <c r="M373" s="9" t="s">
        <v>2986</v>
      </c>
      <c r="N373" s="9" t="s">
        <v>2963</v>
      </c>
      <c r="O373" s="9" t="s">
        <v>2987</v>
      </c>
      <c r="P373" s="9" t="s">
        <v>106</v>
      </c>
      <c r="Q373" s="9" t="s">
        <v>1328</v>
      </c>
      <c r="R373" s="9" t="s">
        <v>2965</v>
      </c>
      <c r="S373" s="9" t="s">
        <v>2988</v>
      </c>
    </row>
    <row r="374" customFormat="false" ht="57.45" hidden="false" customHeight="false" outlineLevel="0" collapsed="false">
      <c r="A374" s="16" t="s">
        <v>2989</v>
      </c>
      <c r="B374" s="16" t="s">
        <v>38</v>
      </c>
      <c r="C374" s="9" t="s">
        <v>1184</v>
      </c>
      <c r="D374" s="9" t="s">
        <v>39</v>
      </c>
      <c r="E374" s="9" t="s">
        <v>2990</v>
      </c>
      <c r="F374" s="9" t="s">
        <v>2991</v>
      </c>
      <c r="G374" s="9" t="s">
        <v>2992</v>
      </c>
      <c r="H374" s="9" t="s">
        <v>106</v>
      </c>
      <c r="I374" s="9" t="s">
        <v>1762</v>
      </c>
      <c r="J374" s="9" t="s">
        <v>1763</v>
      </c>
      <c r="K374" s="9" t="s">
        <v>873</v>
      </c>
      <c r="L374" s="9" t="s">
        <v>106</v>
      </c>
      <c r="M374" s="9" t="s">
        <v>902</v>
      </c>
      <c r="N374" s="9" t="s">
        <v>2993</v>
      </c>
      <c r="O374" s="9" t="s">
        <v>2994</v>
      </c>
      <c r="P374" s="9" t="s">
        <v>904</v>
      </c>
      <c r="Q374" s="9" t="s">
        <v>1767</v>
      </c>
      <c r="R374" s="9" t="s">
        <v>1768</v>
      </c>
      <c r="S374" s="9" t="s">
        <v>2995</v>
      </c>
    </row>
    <row r="375" customFormat="false" ht="46.25" hidden="false" customHeight="false" outlineLevel="0" collapsed="false">
      <c r="A375" s="16" t="s">
        <v>2996</v>
      </c>
      <c r="B375" s="16" t="s">
        <v>38</v>
      </c>
      <c r="C375" s="9" t="s">
        <v>1184</v>
      </c>
      <c r="D375" s="9" t="s">
        <v>39</v>
      </c>
      <c r="E375" s="9" t="s">
        <v>2997</v>
      </c>
      <c r="F375" s="9" t="s">
        <v>2998</v>
      </c>
      <c r="G375" s="9" t="s">
        <v>2999</v>
      </c>
      <c r="H375" s="9" t="s">
        <v>395</v>
      </c>
      <c r="I375" s="9" t="s">
        <v>3000</v>
      </c>
      <c r="J375" s="9" t="s">
        <v>3001</v>
      </c>
      <c r="K375" s="9" t="s">
        <v>873</v>
      </c>
      <c r="L375" s="9" t="s">
        <v>106</v>
      </c>
      <c r="M375" s="9" t="s">
        <v>902</v>
      </c>
      <c r="N375" s="9" t="s">
        <v>2993</v>
      </c>
      <c r="O375" s="9" t="s">
        <v>3002</v>
      </c>
      <c r="P375" s="9" t="s">
        <v>904</v>
      </c>
      <c r="Q375" s="9" t="s">
        <v>2850</v>
      </c>
      <c r="R375" s="9" t="s">
        <v>3003</v>
      </c>
      <c r="S375" s="9" t="s">
        <v>3004</v>
      </c>
    </row>
    <row r="376" customFormat="false" ht="46.25" hidden="false" customHeight="false" outlineLevel="0" collapsed="false">
      <c r="A376" s="16" t="s">
        <v>3005</v>
      </c>
      <c r="B376" s="16" t="s">
        <v>38</v>
      </c>
      <c r="C376" s="9" t="s">
        <v>3006</v>
      </c>
      <c r="D376" s="9" t="s">
        <v>39</v>
      </c>
      <c r="E376" s="9" t="s">
        <v>3007</v>
      </c>
      <c r="F376" s="9" t="s">
        <v>3008</v>
      </c>
      <c r="G376" s="9" t="s">
        <v>705</v>
      </c>
      <c r="H376" s="9" t="s">
        <v>106</v>
      </c>
      <c r="I376" s="9" t="s">
        <v>3009</v>
      </c>
      <c r="J376" s="9" t="s">
        <v>106</v>
      </c>
      <c r="K376" s="9" t="s">
        <v>873</v>
      </c>
      <c r="L376" s="9" t="s">
        <v>106</v>
      </c>
      <c r="M376" s="9" t="s">
        <v>1479</v>
      </c>
      <c r="N376" s="9" t="s">
        <v>875</v>
      </c>
      <c r="O376" s="9" t="s">
        <v>3010</v>
      </c>
      <c r="P376" s="9" t="s">
        <v>308</v>
      </c>
      <c r="Q376" s="9" t="s">
        <v>927</v>
      </c>
      <c r="R376" s="9" t="s">
        <v>3011</v>
      </c>
      <c r="S376" s="9" t="s">
        <v>3012</v>
      </c>
    </row>
    <row r="377" customFormat="false" ht="46.25" hidden="false" customHeight="false" outlineLevel="0" collapsed="false">
      <c r="A377" s="16" t="s">
        <v>3013</v>
      </c>
      <c r="B377" s="16" t="s">
        <v>38</v>
      </c>
      <c r="C377" s="9" t="s">
        <v>985</v>
      </c>
      <c r="D377" s="9" t="s">
        <v>1092</v>
      </c>
      <c r="E377" s="9" t="s">
        <v>3014</v>
      </c>
      <c r="F377" s="9" t="s">
        <v>3015</v>
      </c>
      <c r="G377" s="9" t="s">
        <v>705</v>
      </c>
      <c r="H377" s="9" t="s">
        <v>106</v>
      </c>
      <c r="I377" s="9" t="s">
        <v>3016</v>
      </c>
      <c r="J377" s="9" t="s">
        <v>106</v>
      </c>
      <c r="K377" s="9" t="s">
        <v>873</v>
      </c>
      <c r="L377" s="9" t="s">
        <v>106</v>
      </c>
      <c r="M377" s="9" t="s">
        <v>3017</v>
      </c>
      <c r="N377" s="9" t="s">
        <v>1104</v>
      </c>
      <c r="O377" s="9" t="s">
        <v>3018</v>
      </c>
      <c r="P377" s="9" t="s">
        <v>3019</v>
      </c>
      <c r="Q377" s="9" t="s">
        <v>1067</v>
      </c>
      <c r="R377" s="9" t="s">
        <v>1002</v>
      </c>
      <c r="S377" s="9" t="s">
        <v>3020</v>
      </c>
    </row>
    <row r="378" customFormat="false" ht="46.25" hidden="false" customHeight="false" outlineLevel="0" collapsed="false">
      <c r="A378" s="16" t="s">
        <v>3021</v>
      </c>
      <c r="B378" s="16" t="s">
        <v>38</v>
      </c>
      <c r="C378" s="9" t="s">
        <v>985</v>
      </c>
      <c r="D378" s="9" t="s">
        <v>1092</v>
      </c>
      <c r="E378" s="9" t="s">
        <v>3022</v>
      </c>
      <c r="F378" s="9" t="s">
        <v>3023</v>
      </c>
      <c r="G378" s="9" t="s">
        <v>705</v>
      </c>
      <c r="H378" s="9" t="s">
        <v>106</v>
      </c>
      <c r="I378" s="9" t="s">
        <v>3016</v>
      </c>
      <c r="J378" s="9" t="s">
        <v>106</v>
      </c>
      <c r="K378" s="9" t="s">
        <v>873</v>
      </c>
      <c r="L378" s="9" t="s">
        <v>106</v>
      </c>
      <c r="M378" s="9" t="s">
        <v>3017</v>
      </c>
      <c r="N378" s="9" t="s">
        <v>1104</v>
      </c>
      <c r="O378" s="9" t="s">
        <v>3024</v>
      </c>
      <c r="P378" s="9" t="s">
        <v>3019</v>
      </c>
      <c r="Q378" s="9" t="s">
        <v>1067</v>
      </c>
      <c r="R378" s="9" t="s">
        <v>1002</v>
      </c>
      <c r="S378" s="9" t="s">
        <v>3020</v>
      </c>
    </row>
    <row r="379" customFormat="false" ht="46.25" hidden="false" customHeight="false" outlineLevel="0" collapsed="false">
      <c r="A379" s="16" t="s">
        <v>3025</v>
      </c>
      <c r="B379" s="16" t="s">
        <v>38</v>
      </c>
      <c r="C379" s="9" t="s">
        <v>985</v>
      </c>
      <c r="D379" s="9" t="s">
        <v>1092</v>
      </c>
      <c r="E379" s="9" t="s">
        <v>3026</v>
      </c>
      <c r="F379" s="9" t="s">
        <v>3027</v>
      </c>
      <c r="G379" s="9" t="s">
        <v>705</v>
      </c>
      <c r="H379" s="9" t="s">
        <v>106</v>
      </c>
      <c r="I379" s="9" t="s">
        <v>3016</v>
      </c>
      <c r="J379" s="9" t="s">
        <v>106</v>
      </c>
      <c r="K379" s="9" t="s">
        <v>873</v>
      </c>
      <c r="L379" s="9" t="s">
        <v>106</v>
      </c>
      <c r="M379" s="9" t="s">
        <v>3017</v>
      </c>
      <c r="N379" s="9" t="s">
        <v>1104</v>
      </c>
      <c r="O379" s="9" t="s">
        <v>3028</v>
      </c>
      <c r="P379" s="9" t="s">
        <v>3019</v>
      </c>
      <c r="Q379" s="9" t="s">
        <v>1067</v>
      </c>
      <c r="R379" s="9" t="s">
        <v>1002</v>
      </c>
      <c r="S379" s="9" t="s">
        <v>3020</v>
      </c>
    </row>
    <row r="380" customFormat="false" ht="46.25" hidden="false" customHeight="false" outlineLevel="0" collapsed="false">
      <c r="A380" s="16" t="s">
        <v>3029</v>
      </c>
      <c r="B380" s="16" t="s">
        <v>38</v>
      </c>
      <c r="C380" s="9" t="s">
        <v>985</v>
      </c>
      <c r="D380" s="9" t="s">
        <v>1092</v>
      </c>
      <c r="E380" s="9" t="s">
        <v>3030</v>
      </c>
      <c r="F380" s="9" t="s">
        <v>3031</v>
      </c>
      <c r="G380" s="9" t="s">
        <v>705</v>
      </c>
      <c r="H380" s="9" t="s">
        <v>106</v>
      </c>
      <c r="I380" s="9" t="s">
        <v>3016</v>
      </c>
      <c r="J380" s="9" t="s">
        <v>106</v>
      </c>
      <c r="K380" s="9" t="s">
        <v>873</v>
      </c>
      <c r="L380" s="9" t="s">
        <v>106</v>
      </c>
      <c r="M380" s="9" t="s">
        <v>3017</v>
      </c>
      <c r="N380" s="9" t="s">
        <v>1104</v>
      </c>
      <c r="O380" s="9" t="s">
        <v>3032</v>
      </c>
      <c r="P380" s="9" t="s">
        <v>3019</v>
      </c>
      <c r="Q380" s="9" t="s">
        <v>1067</v>
      </c>
      <c r="R380" s="9" t="s">
        <v>1002</v>
      </c>
      <c r="S380" s="9" t="s">
        <v>3020</v>
      </c>
    </row>
    <row r="381" customFormat="false" ht="35.05" hidden="false" customHeight="false" outlineLevel="0" collapsed="false">
      <c r="A381" s="16" t="s">
        <v>3033</v>
      </c>
      <c r="B381" s="16" t="s">
        <v>38</v>
      </c>
      <c r="C381" s="9" t="s">
        <v>3034</v>
      </c>
      <c r="D381" s="9" t="s">
        <v>106</v>
      </c>
      <c r="E381" s="9" t="s">
        <v>3035</v>
      </c>
      <c r="F381" s="9" t="s">
        <v>3036</v>
      </c>
      <c r="G381" s="9" t="s">
        <v>3037</v>
      </c>
      <c r="H381" s="9" t="s">
        <v>3038</v>
      </c>
      <c r="I381" s="9" t="s">
        <v>3039</v>
      </c>
      <c r="J381" s="9" t="s">
        <v>106</v>
      </c>
      <c r="K381" s="9" t="s">
        <v>3040</v>
      </c>
      <c r="L381" s="9" t="s">
        <v>1087</v>
      </c>
      <c r="M381" s="9" t="s">
        <v>3041</v>
      </c>
      <c r="N381" s="9" t="s">
        <v>1158</v>
      </c>
      <c r="O381" s="9" t="s">
        <v>3042</v>
      </c>
      <c r="P381" s="9" t="s">
        <v>3019</v>
      </c>
      <c r="Q381" s="9" t="s">
        <v>1151</v>
      </c>
      <c r="R381" s="9" t="s">
        <v>1152</v>
      </c>
      <c r="S381" s="9" t="s">
        <v>3043</v>
      </c>
    </row>
    <row r="382" customFormat="false" ht="46.25" hidden="false" customHeight="false" outlineLevel="0" collapsed="false">
      <c r="A382" s="16" t="s">
        <v>3044</v>
      </c>
      <c r="B382" s="16" t="s">
        <v>48</v>
      </c>
      <c r="C382" s="9" t="s">
        <v>690</v>
      </c>
      <c r="D382" s="9" t="s">
        <v>50</v>
      </c>
      <c r="E382" s="9" t="s">
        <v>1489</v>
      </c>
      <c r="F382" s="9" t="s">
        <v>3045</v>
      </c>
      <c r="G382" s="9" t="s">
        <v>705</v>
      </c>
      <c r="H382" s="9" t="s">
        <v>106</v>
      </c>
      <c r="I382" s="9" t="s">
        <v>106</v>
      </c>
      <c r="J382" s="9" t="s">
        <v>106</v>
      </c>
      <c r="K382" s="9" t="s">
        <v>873</v>
      </c>
      <c r="L382" s="9" t="s">
        <v>106</v>
      </c>
      <c r="M382" s="9" t="s">
        <v>2669</v>
      </c>
      <c r="N382" s="9" t="s">
        <v>1480</v>
      </c>
      <c r="O382" s="9" t="s">
        <v>3046</v>
      </c>
      <c r="P382" s="9" t="s">
        <v>308</v>
      </c>
      <c r="Q382" s="9" t="s">
        <v>1482</v>
      </c>
      <c r="R382" s="9" t="s">
        <v>106</v>
      </c>
      <c r="S382" s="9" t="s">
        <v>3047</v>
      </c>
    </row>
    <row r="383" customFormat="false" ht="23.85" hidden="false" customHeight="false" outlineLevel="0" collapsed="false">
      <c r="A383" s="16" t="s">
        <v>3048</v>
      </c>
      <c r="B383" s="16" t="s">
        <v>48</v>
      </c>
      <c r="C383" s="9" t="s">
        <v>1858</v>
      </c>
      <c r="D383" s="9" t="s">
        <v>50</v>
      </c>
      <c r="E383" s="9" t="s">
        <v>3049</v>
      </c>
      <c r="F383" s="9" t="s">
        <v>3050</v>
      </c>
      <c r="G383" s="9" t="s">
        <v>1043</v>
      </c>
      <c r="H383" s="9" t="s">
        <v>560</v>
      </c>
      <c r="I383" s="9" t="s">
        <v>3051</v>
      </c>
      <c r="J383" s="9" t="s">
        <v>106</v>
      </c>
      <c r="K383" s="9" t="s">
        <v>3052</v>
      </c>
      <c r="L383" s="9" t="s">
        <v>1087</v>
      </c>
      <c r="M383" s="9" t="s">
        <v>1148</v>
      </c>
      <c r="N383" s="9" t="s">
        <v>3053</v>
      </c>
      <c r="O383" s="9" t="s">
        <v>3054</v>
      </c>
      <c r="P383" s="9" t="s">
        <v>401</v>
      </c>
      <c r="Q383" s="9" t="s">
        <v>1511</v>
      </c>
      <c r="R383" s="9" t="s">
        <v>106</v>
      </c>
      <c r="S383" s="9" t="s">
        <v>52</v>
      </c>
    </row>
    <row r="384" customFormat="false" ht="46.25" hidden="false" customHeight="false" outlineLevel="0" collapsed="false">
      <c r="A384" s="16" t="s">
        <v>3055</v>
      </c>
      <c r="B384" s="16" t="s">
        <v>48</v>
      </c>
      <c r="C384" s="9" t="s">
        <v>3056</v>
      </c>
      <c r="D384" s="9" t="s">
        <v>50</v>
      </c>
      <c r="E384" s="9" t="s">
        <v>3057</v>
      </c>
      <c r="F384" s="9" t="s">
        <v>3058</v>
      </c>
      <c r="G384" s="9" t="s">
        <v>293</v>
      </c>
      <c r="H384" s="9" t="s">
        <v>106</v>
      </c>
      <c r="I384" s="9" t="s">
        <v>3059</v>
      </c>
      <c r="J384" s="9" t="s">
        <v>397</v>
      </c>
      <c r="K384" s="9" t="s">
        <v>3060</v>
      </c>
      <c r="L384" s="9" t="s">
        <v>106</v>
      </c>
      <c r="M384" s="9" t="s">
        <v>3061</v>
      </c>
      <c r="N384" s="9" t="s">
        <v>1480</v>
      </c>
      <c r="O384" s="9" t="s">
        <v>3062</v>
      </c>
      <c r="P384" s="9" t="s">
        <v>308</v>
      </c>
      <c r="Q384" s="9" t="s">
        <v>3063</v>
      </c>
      <c r="R384" s="9" t="s">
        <v>3064</v>
      </c>
      <c r="S384" s="9" t="s">
        <v>3065</v>
      </c>
    </row>
    <row r="385" customFormat="false" ht="46.25" hidden="false" customHeight="false" outlineLevel="0" collapsed="false">
      <c r="A385" s="16" t="s">
        <v>3066</v>
      </c>
      <c r="B385" s="16" t="s">
        <v>48</v>
      </c>
      <c r="C385" s="9" t="s">
        <v>3056</v>
      </c>
      <c r="D385" s="9" t="s">
        <v>50</v>
      </c>
      <c r="E385" s="9" t="s">
        <v>3067</v>
      </c>
      <c r="F385" s="9" t="s">
        <v>3068</v>
      </c>
      <c r="G385" s="9" t="s">
        <v>293</v>
      </c>
      <c r="H385" s="9" t="s">
        <v>106</v>
      </c>
      <c r="I385" s="9" t="s">
        <v>3069</v>
      </c>
      <c r="J385" s="9" t="s">
        <v>106</v>
      </c>
      <c r="K385" s="9" t="s">
        <v>3060</v>
      </c>
      <c r="L385" s="9" t="s">
        <v>106</v>
      </c>
      <c r="M385" s="9" t="s">
        <v>3070</v>
      </c>
      <c r="N385" s="9" t="s">
        <v>1480</v>
      </c>
      <c r="O385" s="9" t="s">
        <v>3071</v>
      </c>
      <c r="P385" s="9" t="s">
        <v>3072</v>
      </c>
      <c r="Q385" s="9" t="s">
        <v>3063</v>
      </c>
      <c r="R385" s="9" t="s">
        <v>3073</v>
      </c>
      <c r="S385" s="9" t="s">
        <v>3065</v>
      </c>
    </row>
    <row r="386" customFormat="false" ht="23.85" hidden="false" customHeight="false" outlineLevel="0" collapsed="false">
      <c r="A386" s="16" t="s">
        <v>3074</v>
      </c>
      <c r="B386" s="16" t="s">
        <v>48</v>
      </c>
      <c r="C386" s="9" t="s">
        <v>3075</v>
      </c>
      <c r="D386" s="9" t="s">
        <v>50</v>
      </c>
      <c r="E386" s="9" t="s">
        <v>3076</v>
      </c>
      <c r="F386" s="9" t="s">
        <v>3077</v>
      </c>
      <c r="G386" s="9" t="s">
        <v>655</v>
      </c>
      <c r="H386" s="9" t="s">
        <v>560</v>
      </c>
      <c r="I386" s="9" t="s">
        <v>3078</v>
      </c>
      <c r="J386" s="9" t="s">
        <v>106</v>
      </c>
      <c r="K386" s="9" t="s">
        <v>3079</v>
      </c>
      <c r="L386" s="9" t="s">
        <v>106</v>
      </c>
      <c r="M386" s="9" t="s">
        <v>3080</v>
      </c>
      <c r="N386" s="9" t="s">
        <v>3081</v>
      </c>
      <c r="O386" s="9" t="s">
        <v>3062</v>
      </c>
      <c r="P386" s="9" t="s">
        <v>308</v>
      </c>
      <c r="Q386" s="9" t="s">
        <v>3082</v>
      </c>
      <c r="R386" s="9" t="s">
        <v>3083</v>
      </c>
      <c r="S386" s="9" t="s">
        <v>3065</v>
      </c>
    </row>
    <row r="387" customFormat="false" ht="23.85" hidden="false" customHeight="false" outlineLevel="0" collapsed="false">
      <c r="A387" s="16" t="s">
        <v>3084</v>
      </c>
      <c r="B387" s="16" t="s">
        <v>48</v>
      </c>
      <c r="C387" s="9" t="s">
        <v>3075</v>
      </c>
      <c r="D387" s="9" t="s">
        <v>50</v>
      </c>
      <c r="E387" s="9" t="s">
        <v>3085</v>
      </c>
      <c r="F387" s="9" t="s">
        <v>3086</v>
      </c>
      <c r="G387" s="9" t="s">
        <v>1072</v>
      </c>
      <c r="H387" s="9" t="s">
        <v>395</v>
      </c>
      <c r="I387" s="9" t="s">
        <v>3087</v>
      </c>
      <c r="J387" s="9" t="s">
        <v>3001</v>
      </c>
      <c r="K387" s="9" t="s">
        <v>3079</v>
      </c>
      <c r="L387" s="9" t="s">
        <v>3088</v>
      </c>
      <c r="M387" s="9" t="s">
        <v>761</v>
      </c>
      <c r="N387" s="9" t="s">
        <v>3081</v>
      </c>
      <c r="O387" s="9" t="s">
        <v>3089</v>
      </c>
      <c r="P387" s="9" t="s">
        <v>729</v>
      </c>
      <c r="Q387" s="9" t="s">
        <v>2875</v>
      </c>
      <c r="R387" s="9" t="s">
        <v>3073</v>
      </c>
      <c r="S387" s="9" t="s">
        <v>3065</v>
      </c>
    </row>
    <row r="388" customFormat="false" ht="23.85" hidden="false" customHeight="false" outlineLevel="0" collapsed="false">
      <c r="A388" s="16" t="s">
        <v>3090</v>
      </c>
      <c r="B388" s="16" t="s">
        <v>48</v>
      </c>
      <c r="C388" s="9" t="s">
        <v>3075</v>
      </c>
      <c r="D388" s="9" t="s">
        <v>50</v>
      </c>
      <c r="E388" s="9" t="s">
        <v>3091</v>
      </c>
      <c r="F388" s="9" t="s">
        <v>3092</v>
      </c>
      <c r="G388" s="9" t="s">
        <v>1043</v>
      </c>
      <c r="H388" s="9" t="s">
        <v>560</v>
      </c>
      <c r="I388" s="9" t="s">
        <v>2826</v>
      </c>
      <c r="J388" s="9" t="s">
        <v>106</v>
      </c>
      <c r="K388" s="9" t="s">
        <v>3079</v>
      </c>
      <c r="L388" s="9" t="s">
        <v>1087</v>
      </c>
      <c r="M388" s="9" t="s">
        <v>1148</v>
      </c>
      <c r="N388" s="9" t="s">
        <v>3081</v>
      </c>
      <c r="O388" s="9" t="s">
        <v>3093</v>
      </c>
      <c r="P388" s="9" t="s">
        <v>308</v>
      </c>
      <c r="Q388" s="9" t="s">
        <v>3063</v>
      </c>
      <c r="R388" s="9" t="s">
        <v>3073</v>
      </c>
      <c r="S388" s="9" t="s">
        <v>3065</v>
      </c>
    </row>
    <row r="389" customFormat="false" ht="46.25" hidden="false" customHeight="false" outlineLevel="0" collapsed="false">
      <c r="A389" s="16" t="s">
        <v>3094</v>
      </c>
      <c r="B389" s="16" t="s">
        <v>48</v>
      </c>
      <c r="C389" s="9" t="s">
        <v>3095</v>
      </c>
      <c r="D389" s="9" t="s">
        <v>50</v>
      </c>
      <c r="E389" s="9" t="s">
        <v>3096</v>
      </c>
      <c r="F389" s="9" t="s">
        <v>3097</v>
      </c>
      <c r="G389" s="9" t="s">
        <v>1072</v>
      </c>
      <c r="H389" s="9" t="s">
        <v>560</v>
      </c>
      <c r="I389" s="9" t="s">
        <v>3098</v>
      </c>
      <c r="J389" s="9" t="s">
        <v>106</v>
      </c>
      <c r="K389" s="9" t="s">
        <v>3079</v>
      </c>
      <c r="L389" s="9" t="s">
        <v>106</v>
      </c>
      <c r="M389" s="9" t="s">
        <v>1077</v>
      </c>
      <c r="N389" s="9" t="s">
        <v>3099</v>
      </c>
      <c r="O389" s="9" t="s">
        <v>3100</v>
      </c>
      <c r="P389" s="9" t="s">
        <v>729</v>
      </c>
      <c r="Q389" s="9" t="s">
        <v>3101</v>
      </c>
      <c r="R389" s="9" t="s">
        <v>2876</v>
      </c>
      <c r="S389" s="9" t="s">
        <v>3065</v>
      </c>
    </row>
    <row r="390" customFormat="false" ht="35.05" hidden="false" customHeight="false" outlineLevel="0" collapsed="false">
      <c r="A390" s="16" t="s">
        <v>3102</v>
      </c>
      <c r="B390" s="16" t="s">
        <v>48</v>
      </c>
      <c r="C390" s="9" t="s">
        <v>3095</v>
      </c>
      <c r="D390" s="9" t="s">
        <v>50</v>
      </c>
      <c r="E390" s="9" t="s">
        <v>3103</v>
      </c>
      <c r="F390" s="9" t="s">
        <v>3104</v>
      </c>
      <c r="G390" s="9" t="s">
        <v>3105</v>
      </c>
      <c r="H390" s="9" t="s">
        <v>3106</v>
      </c>
      <c r="I390" s="9" t="s">
        <v>3107</v>
      </c>
      <c r="J390" s="9" t="s">
        <v>106</v>
      </c>
      <c r="K390" s="9" t="s">
        <v>3108</v>
      </c>
      <c r="L390" s="9" t="s">
        <v>3109</v>
      </c>
      <c r="M390" s="9" t="s">
        <v>3110</v>
      </c>
      <c r="N390" s="9" t="s">
        <v>3099</v>
      </c>
      <c r="O390" s="9" t="s">
        <v>3111</v>
      </c>
      <c r="P390" s="9" t="s">
        <v>3112</v>
      </c>
      <c r="Q390" s="9" t="s">
        <v>3063</v>
      </c>
      <c r="R390" s="9" t="s">
        <v>2876</v>
      </c>
      <c r="S390" s="9" t="s">
        <v>3065</v>
      </c>
    </row>
    <row r="391" customFormat="false" ht="23.85" hidden="false" customHeight="false" outlineLevel="0" collapsed="false">
      <c r="A391" s="16" t="s">
        <v>3113</v>
      </c>
      <c r="B391" s="16" t="s">
        <v>48</v>
      </c>
      <c r="C391" s="9" t="s">
        <v>3114</v>
      </c>
      <c r="D391" s="9" t="s">
        <v>50</v>
      </c>
      <c r="E391" s="9" t="s">
        <v>3115</v>
      </c>
      <c r="F391" s="9" t="s">
        <v>3116</v>
      </c>
      <c r="G391" s="9" t="s">
        <v>1043</v>
      </c>
      <c r="H391" s="9" t="s">
        <v>560</v>
      </c>
      <c r="I391" s="9" t="s">
        <v>2826</v>
      </c>
      <c r="J391" s="9" t="s">
        <v>106</v>
      </c>
      <c r="K391" s="9" t="s">
        <v>3117</v>
      </c>
      <c r="L391" s="9" t="s">
        <v>1087</v>
      </c>
      <c r="M391" s="9" t="s">
        <v>2627</v>
      </c>
      <c r="N391" s="9" t="s">
        <v>3118</v>
      </c>
      <c r="O391" s="9" t="s">
        <v>3119</v>
      </c>
      <c r="P391" s="9" t="s">
        <v>308</v>
      </c>
      <c r="Q391" s="9" t="s">
        <v>3063</v>
      </c>
      <c r="R391" s="9" t="s">
        <v>3120</v>
      </c>
      <c r="S391" s="9" t="s">
        <v>3065</v>
      </c>
    </row>
    <row r="392" customFormat="false" ht="23.85" hidden="false" customHeight="false" outlineLevel="0" collapsed="false">
      <c r="A392" s="16" t="s">
        <v>3121</v>
      </c>
      <c r="B392" s="16" t="s">
        <v>84</v>
      </c>
      <c r="C392" s="9" t="s">
        <v>1607</v>
      </c>
      <c r="D392" s="9" t="s">
        <v>85</v>
      </c>
      <c r="E392" s="9" t="s">
        <v>3122</v>
      </c>
      <c r="F392" s="9" t="s">
        <v>3123</v>
      </c>
      <c r="G392" s="9" t="s">
        <v>3124</v>
      </c>
      <c r="H392" s="9" t="s">
        <v>395</v>
      </c>
      <c r="I392" s="9" t="s">
        <v>106</v>
      </c>
      <c r="J392" s="9" t="s">
        <v>106</v>
      </c>
      <c r="K392" s="9" t="s">
        <v>3052</v>
      </c>
      <c r="L392" s="9" t="s">
        <v>106</v>
      </c>
      <c r="M392" s="9" t="s">
        <v>3125</v>
      </c>
      <c r="N392" s="9" t="s">
        <v>1934</v>
      </c>
      <c r="O392" s="9" t="s">
        <v>3126</v>
      </c>
      <c r="P392" s="9" t="s">
        <v>308</v>
      </c>
      <c r="Q392" s="9" t="s">
        <v>1935</v>
      </c>
      <c r="R392" s="9" t="s">
        <v>2003</v>
      </c>
      <c r="S392" s="9" t="s">
        <v>87</v>
      </c>
    </row>
    <row r="393" customFormat="false" ht="23.85" hidden="false" customHeight="false" outlineLevel="0" collapsed="false">
      <c r="A393" s="16" t="s">
        <v>3127</v>
      </c>
      <c r="B393" s="16" t="s">
        <v>92</v>
      </c>
      <c r="C393" s="9" t="s">
        <v>2080</v>
      </c>
      <c r="D393" s="9" t="s">
        <v>94</v>
      </c>
      <c r="E393" s="9" t="s">
        <v>3128</v>
      </c>
      <c r="F393" s="9" t="s">
        <v>3129</v>
      </c>
      <c r="G393" s="9" t="s">
        <v>394</v>
      </c>
      <c r="H393" s="9" t="s">
        <v>106</v>
      </c>
      <c r="I393" s="9" t="s">
        <v>3130</v>
      </c>
      <c r="J393" s="9" t="s">
        <v>3131</v>
      </c>
      <c r="K393" s="9" t="s">
        <v>3132</v>
      </c>
      <c r="L393" s="9" t="s">
        <v>106</v>
      </c>
      <c r="M393" s="9" t="s">
        <v>2064</v>
      </c>
      <c r="N393" s="9" t="s">
        <v>3133</v>
      </c>
      <c r="O393" s="9" t="s">
        <v>2065</v>
      </c>
      <c r="P393" s="9" t="s">
        <v>401</v>
      </c>
      <c r="Q393" s="9" t="s">
        <v>2023</v>
      </c>
      <c r="R393" s="9" t="s">
        <v>3134</v>
      </c>
      <c r="S393" s="9" t="s">
        <v>96</v>
      </c>
    </row>
    <row r="394" customFormat="false" ht="35.05" hidden="false" customHeight="false" outlineLevel="0" collapsed="false">
      <c r="A394" s="16" t="s">
        <v>3135</v>
      </c>
      <c r="B394" s="16" t="s">
        <v>121</v>
      </c>
      <c r="C394" s="9" t="s">
        <v>690</v>
      </c>
      <c r="D394" s="9" t="s">
        <v>2307</v>
      </c>
      <c r="E394" s="9" t="s">
        <v>3136</v>
      </c>
      <c r="F394" s="9" t="s">
        <v>3137</v>
      </c>
      <c r="G394" s="9" t="s">
        <v>2796</v>
      </c>
      <c r="H394" s="9" t="s">
        <v>106</v>
      </c>
      <c r="I394" s="9" t="s">
        <v>3138</v>
      </c>
      <c r="J394" s="9" t="s">
        <v>106</v>
      </c>
      <c r="K394" s="9" t="s">
        <v>3052</v>
      </c>
      <c r="L394" s="9" t="s">
        <v>106</v>
      </c>
      <c r="M394" s="9" t="s">
        <v>3139</v>
      </c>
      <c r="N394" s="9" t="s">
        <v>3140</v>
      </c>
      <c r="O394" s="9" t="s">
        <v>3141</v>
      </c>
      <c r="P394" s="9" t="s">
        <v>904</v>
      </c>
      <c r="Q394" s="9" t="s">
        <v>2323</v>
      </c>
      <c r="R394" s="9" t="s">
        <v>3142</v>
      </c>
      <c r="S394" s="9" t="s">
        <v>124</v>
      </c>
    </row>
    <row r="395" customFormat="false" ht="46.25" hidden="false" customHeight="false" outlineLevel="0" collapsed="false">
      <c r="A395" s="16" t="s">
        <v>3143</v>
      </c>
      <c r="B395" s="16" t="s">
        <v>139</v>
      </c>
      <c r="C395" s="9" t="s">
        <v>2538</v>
      </c>
      <c r="D395" s="9" t="s">
        <v>2471</v>
      </c>
      <c r="E395" s="9" t="s">
        <v>3144</v>
      </c>
      <c r="F395" s="9" t="s">
        <v>3145</v>
      </c>
      <c r="G395" s="9" t="s">
        <v>965</v>
      </c>
      <c r="H395" s="9" t="s">
        <v>560</v>
      </c>
      <c r="I395" s="9" t="s">
        <v>3146</v>
      </c>
      <c r="J395" s="9" t="s">
        <v>106</v>
      </c>
      <c r="K395" s="9" t="s">
        <v>873</v>
      </c>
      <c r="L395" s="9" t="s">
        <v>3147</v>
      </c>
      <c r="M395" s="9" t="s">
        <v>1561</v>
      </c>
      <c r="N395" s="9" t="s">
        <v>2542</v>
      </c>
      <c r="O395" s="9" t="s">
        <v>2482</v>
      </c>
      <c r="P395" s="9" t="s">
        <v>308</v>
      </c>
      <c r="Q395" s="9" t="s">
        <v>2476</v>
      </c>
      <c r="R395" s="9" t="s">
        <v>2544</v>
      </c>
      <c r="S395" s="9" t="s">
        <v>3148</v>
      </c>
    </row>
    <row r="396" customFormat="false" ht="46.25" hidden="false" customHeight="false" outlineLevel="0" collapsed="false">
      <c r="A396" s="16" t="s">
        <v>3149</v>
      </c>
      <c r="B396" s="16" t="s">
        <v>139</v>
      </c>
      <c r="C396" s="9" t="s">
        <v>2538</v>
      </c>
      <c r="D396" s="9" t="s">
        <v>2471</v>
      </c>
      <c r="E396" s="9" t="s">
        <v>3150</v>
      </c>
      <c r="F396" s="9" t="s">
        <v>3151</v>
      </c>
      <c r="G396" s="9" t="s">
        <v>559</v>
      </c>
      <c r="H396" s="9" t="s">
        <v>560</v>
      </c>
      <c r="I396" s="9" t="s">
        <v>2486</v>
      </c>
      <c r="J396" s="9" t="s">
        <v>106</v>
      </c>
      <c r="K396" s="9" t="s">
        <v>873</v>
      </c>
      <c r="L396" s="9" t="s">
        <v>106</v>
      </c>
      <c r="M396" s="9" t="s">
        <v>2487</v>
      </c>
      <c r="N396" s="9" t="s">
        <v>2542</v>
      </c>
      <c r="O396" s="9" t="s">
        <v>2488</v>
      </c>
      <c r="P396" s="9" t="s">
        <v>308</v>
      </c>
      <c r="Q396" s="9" t="s">
        <v>2476</v>
      </c>
      <c r="R396" s="9" t="s">
        <v>2544</v>
      </c>
      <c r="S396" s="9" t="s">
        <v>3148</v>
      </c>
    </row>
    <row r="397" customFormat="false" ht="46.25" hidden="false" customHeight="false" outlineLevel="0" collapsed="false">
      <c r="A397" s="16" t="s">
        <v>3152</v>
      </c>
      <c r="B397" s="16" t="s">
        <v>139</v>
      </c>
      <c r="C397" s="9" t="s">
        <v>2538</v>
      </c>
      <c r="D397" s="9" t="s">
        <v>2471</v>
      </c>
      <c r="E397" s="9" t="s">
        <v>3153</v>
      </c>
      <c r="F397" s="9" t="s">
        <v>3154</v>
      </c>
      <c r="G397" s="9" t="s">
        <v>559</v>
      </c>
      <c r="H397" s="9" t="s">
        <v>560</v>
      </c>
      <c r="I397" s="9" t="s">
        <v>2492</v>
      </c>
      <c r="J397" s="9" t="s">
        <v>106</v>
      </c>
      <c r="K397" s="9" t="s">
        <v>873</v>
      </c>
      <c r="L397" s="9" t="s">
        <v>106</v>
      </c>
      <c r="M397" s="9" t="s">
        <v>3155</v>
      </c>
      <c r="N397" s="9" t="s">
        <v>2542</v>
      </c>
      <c r="O397" s="9" t="s">
        <v>2494</v>
      </c>
      <c r="P397" s="9" t="s">
        <v>308</v>
      </c>
      <c r="Q397" s="9" t="s">
        <v>2476</v>
      </c>
      <c r="R397" s="9" t="s">
        <v>2544</v>
      </c>
      <c r="S397" s="9" t="s">
        <v>3148</v>
      </c>
    </row>
    <row r="398" customFormat="false" ht="46.25" hidden="false" customHeight="false" outlineLevel="0" collapsed="false">
      <c r="A398" s="16" t="s">
        <v>3156</v>
      </c>
      <c r="B398" s="16" t="s">
        <v>139</v>
      </c>
      <c r="C398" s="9" t="s">
        <v>2538</v>
      </c>
      <c r="D398" s="9" t="s">
        <v>2471</v>
      </c>
      <c r="E398" s="9" t="s">
        <v>3157</v>
      </c>
      <c r="F398" s="9" t="s">
        <v>3158</v>
      </c>
      <c r="G398" s="9" t="s">
        <v>581</v>
      </c>
      <c r="H398" s="9" t="s">
        <v>560</v>
      </c>
      <c r="I398" s="9" t="s">
        <v>3159</v>
      </c>
      <c r="J398" s="9" t="s">
        <v>106</v>
      </c>
      <c r="K398" s="9" t="s">
        <v>873</v>
      </c>
      <c r="L398" s="9" t="s">
        <v>2533</v>
      </c>
      <c r="M398" s="9" t="s">
        <v>3160</v>
      </c>
      <c r="N398" s="9" t="s">
        <v>2542</v>
      </c>
      <c r="O398" s="9" t="s">
        <v>2501</v>
      </c>
      <c r="P398" s="9" t="s">
        <v>2502</v>
      </c>
      <c r="Q398" s="9" t="s">
        <v>2476</v>
      </c>
      <c r="R398" s="9" t="s">
        <v>2544</v>
      </c>
      <c r="S398" s="9" t="s">
        <v>3148</v>
      </c>
    </row>
    <row r="399" customFormat="false" ht="46.25" hidden="false" customHeight="false" outlineLevel="0" collapsed="false">
      <c r="A399" s="16" t="s">
        <v>3161</v>
      </c>
      <c r="B399" s="16" t="s">
        <v>139</v>
      </c>
      <c r="C399" s="9" t="s">
        <v>2538</v>
      </c>
      <c r="D399" s="9" t="s">
        <v>2471</v>
      </c>
      <c r="E399" s="9" t="s">
        <v>3162</v>
      </c>
      <c r="F399" s="9" t="s">
        <v>3163</v>
      </c>
      <c r="G399" s="9" t="s">
        <v>394</v>
      </c>
      <c r="H399" s="9" t="s">
        <v>560</v>
      </c>
      <c r="I399" s="9" t="s">
        <v>1581</v>
      </c>
      <c r="J399" s="9" t="s">
        <v>106</v>
      </c>
      <c r="K399" s="9" t="s">
        <v>873</v>
      </c>
      <c r="L399" s="9" t="s">
        <v>106</v>
      </c>
      <c r="M399" s="9" t="s">
        <v>3164</v>
      </c>
      <c r="N399" s="9" t="s">
        <v>2542</v>
      </c>
      <c r="O399" s="9" t="s">
        <v>2510</v>
      </c>
      <c r="P399" s="9" t="s">
        <v>401</v>
      </c>
      <c r="Q399" s="9" t="s">
        <v>2476</v>
      </c>
      <c r="R399" s="9" t="s">
        <v>2544</v>
      </c>
      <c r="S399" s="9" t="s">
        <v>3148</v>
      </c>
    </row>
    <row r="400" customFormat="false" ht="46.25" hidden="false" customHeight="false" outlineLevel="0" collapsed="false">
      <c r="A400" s="16" t="s">
        <v>3165</v>
      </c>
      <c r="B400" s="16" t="s">
        <v>139</v>
      </c>
      <c r="C400" s="9" t="s">
        <v>2538</v>
      </c>
      <c r="D400" s="9" t="s">
        <v>2471</v>
      </c>
      <c r="E400" s="9" t="s">
        <v>3166</v>
      </c>
      <c r="F400" s="9" t="s">
        <v>3167</v>
      </c>
      <c r="G400" s="9" t="s">
        <v>394</v>
      </c>
      <c r="H400" s="9" t="s">
        <v>560</v>
      </c>
      <c r="I400" s="9" t="s">
        <v>1581</v>
      </c>
      <c r="J400" s="9" t="s">
        <v>106</v>
      </c>
      <c r="K400" s="9" t="s">
        <v>873</v>
      </c>
      <c r="L400" s="9" t="s">
        <v>106</v>
      </c>
      <c r="M400" s="9" t="s">
        <v>3168</v>
      </c>
      <c r="N400" s="9" t="s">
        <v>2542</v>
      </c>
      <c r="O400" s="9" t="s">
        <v>2516</v>
      </c>
      <c r="P400" s="9" t="s">
        <v>401</v>
      </c>
      <c r="Q400" s="9" t="s">
        <v>2476</v>
      </c>
      <c r="R400" s="9" t="s">
        <v>2544</v>
      </c>
      <c r="S400" s="9" t="s">
        <v>3148</v>
      </c>
    </row>
  </sheetData>
  <autoFilter ref="A1:S40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6"/>
    <col collapsed="false" customWidth="true" hidden="false" outlineLevel="0" max="3" min="3" style="0" width="11"/>
    <col collapsed="false" customWidth="true" hidden="false" outlineLevel="0" max="4" min="4" style="0" width="13"/>
    <col collapsed="false" customWidth="true" hidden="false" outlineLevel="0" max="5" min="5" style="0" width="60"/>
    <col collapsed="false" customWidth="true" hidden="false" outlineLevel="0" max="6" min="6" style="0" width="50"/>
    <col collapsed="false" customWidth="true" hidden="false" outlineLevel="0" max="7" min="7" style="0" width="34"/>
    <col collapsed="false" customWidth="true" hidden="false" outlineLevel="0" max="8" min="8" style="0" width="12"/>
  </cols>
  <sheetData>
    <row r="1" customFormat="false" ht="15" hidden="false" customHeight="false" outlineLevel="0" collapsed="false">
      <c r="A1" s="8" t="s">
        <v>3169</v>
      </c>
      <c r="B1" s="8" t="s">
        <v>3170</v>
      </c>
      <c r="C1" s="8" t="s">
        <v>28</v>
      </c>
      <c r="D1" s="8" t="s">
        <v>30</v>
      </c>
      <c r="E1" s="8" t="s">
        <v>3171</v>
      </c>
      <c r="F1" s="8" t="s">
        <v>3172</v>
      </c>
      <c r="G1" s="8" t="s">
        <v>3173</v>
      </c>
      <c r="H1" s="8" t="s">
        <v>1608</v>
      </c>
    </row>
    <row r="2" customFormat="false" ht="35.05" hidden="false" customHeight="false" outlineLevel="0" collapsed="false">
      <c r="A2" s="9" t="s">
        <v>3174</v>
      </c>
      <c r="B2" s="9" t="s">
        <v>3175</v>
      </c>
      <c r="C2" s="9" t="s">
        <v>176</v>
      </c>
      <c r="D2" s="9" t="s">
        <v>3176</v>
      </c>
      <c r="E2" s="9" t="s">
        <v>3177</v>
      </c>
      <c r="F2" s="9" t="s">
        <v>3178</v>
      </c>
      <c r="G2" s="17" t="s">
        <v>3179</v>
      </c>
      <c r="H2" s="17" t="s">
        <v>3180</v>
      </c>
    </row>
    <row r="3" customFormat="false" ht="46.25" hidden="false" customHeight="false" outlineLevel="0" collapsed="false">
      <c r="A3" s="9" t="s">
        <v>3181</v>
      </c>
      <c r="B3" s="9" t="s">
        <v>3182</v>
      </c>
      <c r="C3" s="9" t="s">
        <v>176</v>
      </c>
      <c r="D3" s="9" t="s">
        <v>3183</v>
      </c>
      <c r="E3" s="9" t="s">
        <v>3184</v>
      </c>
      <c r="F3" s="9" t="s">
        <v>3185</v>
      </c>
      <c r="G3" s="17" t="s">
        <v>3186</v>
      </c>
      <c r="H3" s="17" t="s">
        <v>3180</v>
      </c>
    </row>
    <row r="4" customFormat="false" ht="35.05" hidden="false" customHeight="false" outlineLevel="0" collapsed="false">
      <c r="A4" s="9" t="s">
        <v>3187</v>
      </c>
      <c r="B4" s="9" t="s">
        <v>3188</v>
      </c>
      <c r="C4" s="9" t="s">
        <v>192</v>
      </c>
      <c r="D4" s="9" t="s">
        <v>3189</v>
      </c>
      <c r="E4" s="9" t="s">
        <v>3190</v>
      </c>
      <c r="F4" s="9" t="s">
        <v>3191</v>
      </c>
      <c r="G4" s="17" t="s">
        <v>3192</v>
      </c>
      <c r="H4" s="17" t="s">
        <v>3180</v>
      </c>
    </row>
    <row r="5" customFormat="false" ht="35.05" hidden="false" customHeight="false" outlineLevel="0" collapsed="false">
      <c r="A5" s="9" t="s">
        <v>3193</v>
      </c>
      <c r="B5" s="9" t="s">
        <v>3194</v>
      </c>
      <c r="C5" s="9" t="s">
        <v>176</v>
      </c>
      <c r="D5" s="9" t="s">
        <v>3195</v>
      </c>
      <c r="E5" s="9" t="s">
        <v>3196</v>
      </c>
      <c r="F5" s="9" t="s">
        <v>3197</v>
      </c>
      <c r="G5" s="17" t="s">
        <v>3198</v>
      </c>
      <c r="H5" s="17" t="s">
        <v>3180</v>
      </c>
    </row>
    <row r="6" customFormat="false" ht="68.65" hidden="false" customHeight="false" outlineLevel="0" collapsed="false">
      <c r="A6" s="9" t="s">
        <v>3199</v>
      </c>
      <c r="B6" s="9" t="s">
        <v>3200</v>
      </c>
      <c r="C6" s="9" t="s">
        <v>176</v>
      </c>
      <c r="D6" s="9" t="s">
        <v>3201</v>
      </c>
      <c r="E6" s="9" t="s">
        <v>3202</v>
      </c>
      <c r="F6" s="9" t="s">
        <v>3203</v>
      </c>
      <c r="G6" s="17" t="s">
        <v>3204</v>
      </c>
      <c r="H6" s="17" t="s">
        <v>3180</v>
      </c>
    </row>
    <row r="7" customFormat="false" ht="46.25" hidden="false" customHeight="false" outlineLevel="0" collapsed="false">
      <c r="A7" s="9" t="s">
        <v>3205</v>
      </c>
      <c r="B7" s="9" t="s">
        <v>3206</v>
      </c>
      <c r="C7" s="9" t="s">
        <v>185</v>
      </c>
      <c r="D7" s="9" t="s">
        <v>3183</v>
      </c>
      <c r="E7" s="9" t="s">
        <v>3207</v>
      </c>
      <c r="F7" s="9" t="s">
        <v>3208</v>
      </c>
      <c r="G7" s="17" t="s">
        <v>3209</v>
      </c>
      <c r="H7" s="17" t="s">
        <v>3180</v>
      </c>
    </row>
    <row r="8" customFormat="false" ht="35.05" hidden="false" customHeight="false" outlineLevel="0" collapsed="false">
      <c r="A8" s="9" t="s">
        <v>3210</v>
      </c>
      <c r="B8" s="9" t="s">
        <v>3206</v>
      </c>
      <c r="C8" s="9" t="s">
        <v>185</v>
      </c>
      <c r="D8" s="9" t="s">
        <v>3195</v>
      </c>
      <c r="E8" s="9" t="s">
        <v>3211</v>
      </c>
      <c r="F8" s="9" t="s">
        <v>3212</v>
      </c>
      <c r="G8" s="17" t="s">
        <v>3213</v>
      </c>
      <c r="H8" s="17" t="s">
        <v>3180</v>
      </c>
    </row>
    <row r="9" customFormat="false" ht="46.25" hidden="false" customHeight="false" outlineLevel="0" collapsed="false">
      <c r="A9" s="9" t="s">
        <v>3214</v>
      </c>
      <c r="B9" s="9" t="s">
        <v>3206</v>
      </c>
      <c r="C9" s="9" t="s">
        <v>185</v>
      </c>
      <c r="D9" s="9" t="s">
        <v>3215</v>
      </c>
      <c r="E9" s="9" t="s">
        <v>3216</v>
      </c>
      <c r="F9" s="9" t="s">
        <v>3217</v>
      </c>
      <c r="G9" s="17" t="s">
        <v>3218</v>
      </c>
      <c r="H9" s="17" t="s">
        <v>3180</v>
      </c>
    </row>
    <row r="10" customFormat="false" ht="35.05" hidden="false" customHeight="false" outlineLevel="0" collapsed="false">
      <c r="A10" s="9" t="s">
        <v>3219</v>
      </c>
      <c r="B10" s="9" t="s">
        <v>3220</v>
      </c>
      <c r="C10" s="9" t="s">
        <v>185</v>
      </c>
      <c r="D10" s="9" t="s">
        <v>3183</v>
      </c>
      <c r="E10" s="9" t="s">
        <v>3221</v>
      </c>
      <c r="F10" s="9" t="s">
        <v>3222</v>
      </c>
      <c r="G10" s="17" t="s">
        <v>3223</v>
      </c>
      <c r="H10" s="17" t="s">
        <v>3180</v>
      </c>
    </row>
    <row r="11" customFormat="false" ht="46.25" hidden="false" customHeight="false" outlineLevel="0" collapsed="false">
      <c r="A11" s="9" t="s">
        <v>3224</v>
      </c>
      <c r="B11" s="9" t="s">
        <v>3225</v>
      </c>
      <c r="C11" s="9" t="s">
        <v>208</v>
      </c>
      <c r="D11" s="9" t="s">
        <v>3215</v>
      </c>
      <c r="E11" s="9" t="s">
        <v>3226</v>
      </c>
      <c r="F11" s="9" t="s">
        <v>3227</v>
      </c>
      <c r="G11" s="17" t="s">
        <v>3228</v>
      </c>
      <c r="H11" s="17" t="s">
        <v>3180</v>
      </c>
    </row>
    <row r="12" customFormat="false" ht="23.85" hidden="false" customHeight="false" outlineLevel="0" collapsed="false">
      <c r="A12" s="9" t="s">
        <v>3229</v>
      </c>
      <c r="B12" s="9" t="s">
        <v>3230</v>
      </c>
      <c r="C12" s="9" t="s">
        <v>216</v>
      </c>
      <c r="D12" s="9" t="s">
        <v>3176</v>
      </c>
      <c r="E12" s="9" t="s">
        <v>3231</v>
      </c>
      <c r="F12" s="9" t="s">
        <v>3232</v>
      </c>
      <c r="G12" s="17" t="s">
        <v>3233</v>
      </c>
      <c r="H12" s="17" t="s">
        <v>3180</v>
      </c>
    </row>
    <row r="13" customFormat="false" ht="35.05" hidden="false" customHeight="false" outlineLevel="0" collapsed="false">
      <c r="A13" s="9" t="s">
        <v>3234</v>
      </c>
      <c r="B13" s="9" t="s">
        <v>3235</v>
      </c>
      <c r="C13" s="9" t="s">
        <v>216</v>
      </c>
      <c r="D13" s="9" t="s">
        <v>3215</v>
      </c>
      <c r="E13" s="9" t="s">
        <v>3236</v>
      </c>
      <c r="F13" s="9" t="s">
        <v>3237</v>
      </c>
      <c r="G13" s="17" t="s">
        <v>3238</v>
      </c>
      <c r="H13" s="17" t="s">
        <v>3180</v>
      </c>
    </row>
    <row r="14" customFormat="false" ht="35.05" hidden="false" customHeight="false" outlineLevel="0" collapsed="false">
      <c r="A14" s="9" t="s">
        <v>3239</v>
      </c>
      <c r="B14" s="9" t="s">
        <v>3240</v>
      </c>
      <c r="C14" s="9" t="s">
        <v>224</v>
      </c>
      <c r="D14" s="9" t="s">
        <v>3183</v>
      </c>
      <c r="E14" s="9" t="s">
        <v>3241</v>
      </c>
      <c r="F14" s="9" t="s">
        <v>3242</v>
      </c>
      <c r="G14" s="17" t="s">
        <v>3243</v>
      </c>
      <c r="H14" s="17" t="s">
        <v>3180</v>
      </c>
    </row>
    <row r="15" customFormat="false" ht="23.85" hidden="false" customHeight="false" outlineLevel="0" collapsed="false">
      <c r="A15" s="9" t="s">
        <v>3244</v>
      </c>
      <c r="B15" s="9" t="s">
        <v>3245</v>
      </c>
      <c r="C15" s="9" t="s">
        <v>224</v>
      </c>
      <c r="D15" s="9" t="s">
        <v>3195</v>
      </c>
      <c r="E15" s="9" t="s">
        <v>3246</v>
      </c>
      <c r="F15" s="9" t="s">
        <v>3247</v>
      </c>
      <c r="G15" s="17" t="s">
        <v>3248</v>
      </c>
      <c r="H15" s="17" t="s">
        <v>3180</v>
      </c>
    </row>
    <row r="16" customFormat="false" ht="57.45" hidden="false" customHeight="false" outlineLevel="0" collapsed="false">
      <c r="A16" s="9" t="s">
        <v>3249</v>
      </c>
      <c r="B16" s="9" t="s">
        <v>3250</v>
      </c>
      <c r="C16" s="9" t="s">
        <v>224</v>
      </c>
      <c r="D16" s="9" t="s">
        <v>3176</v>
      </c>
      <c r="E16" s="9" t="s">
        <v>3251</v>
      </c>
      <c r="F16" s="9" t="s">
        <v>3252</v>
      </c>
      <c r="G16" s="17" t="s">
        <v>3253</v>
      </c>
      <c r="H16" s="17" t="s">
        <v>3180</v>
      </c>
    </row>
    <row r="17" customFormat="false" ht="23.85" hidden="false" customHeight="false" outlineLevel="0" collapsed="false">
      <c r="A17" s="9" t="s">
        <v>3254</v>
      </c>
      <c r="B17" s="9" t="s">
        <v>3250</v>
      </c>
      <c r="C17" s="9" t="s">
        <v>224</v>
      </c>
      <c r="D17" s="9" t="s">
        <v>3215</v>
      </c>
      <c r="E17" s="9" t="s">
        <v>3255</v>
      </c>
      <c r="F17" s="9" t="s">
        <v>3256</v>
      </c>
      <c r="G17" s="17" t="s">
        <v>3257</v>
      </c>
      <c r="H17" s="17" t="s">
        <v>3180</v>
      </c>
    </row>
    <row r="18" customFormat="false" ht="35.05" hidden="false" customHeight="false" outlineLevel="0" collapsed="false">
      <c r="A18" s="9" t="s">
        <v>3258</v>
      </c>
      <c r="B18" s="9" t="s">
        <v>3259</v>
      </c>
      <c r="C18" s="9" t="s">
        <v>208</v>
      </c>
      <c r="D18" s="9" t="s">
        <v>3183</v>
      </c>
      <c r="E18" s="9" t="s">
        <v>3260</v>
      </c>
      <c r="F18" s="9" t="s">
        <v>3261</v>
      </c>
      <c r="G18" s="17" t="s">
        <v>3262</v>
      </c>
      <c r="H18" s="17" t="s">
        <v>3180</v>
      </c>
    </row>
    <row r="19" customFormat="false" ht="35.05" hidden="false" customHeight="false" outlineLevel="0" collapsed="false">
      <c r="A19" s="9" t="s">
        <v>3263</v>
      </c>
      <c r="B19" s="9" t="s">
        <v>3264</v>
      </c>
      <c r="C19" s="9" t="s">
        <v>239</v>
      </c>
      <c r="D19" s="9" t="s">
        <v>3183</v>
      </c>
      <c r="E19" s="9" t="s">
        <v>3265</v>
      </c>
      <c r="F19" s="9" t="s">
        <v>3266</v>
      </c>
      <c r="G19" s="17" t="s">
        <v>3267</v>
      </c>
      <c r="H19" s="17" t="s">
        <v>3180</v>
      </c>
    </row>
    <row r="20" customFormat="false" ht="35.05" hidden="false" customHeight="false" outlineLevel="0" collapsed="false">
      <c r="A20" s="9" t="s">
        <v>3268</v>
      </c>
      <c r="B20" s="9" t="s">
        <v>3269</v>
      </c>
      <c r="C20" s="9" t="s">
        <v>239</v>
      </c>
      <c r="D20" s="9" t="s">
        <v>3215</v>
      </c>
      <c r="E20" s="9" t="s">
        <v>3270</v>
      </c>
      <c r="F20" s="9" t="s">
        <v>3271</v>
      </c>
      <c r="G20" s="17" t="s">
        <v>3272</v>
      </c>
      <c r="H20" s="17" t="s">
        <v>3180</v>
      </c>
    </row>
    <row r="21" customFormat="false" ht="35.05" hidden="false" customHeight="false" outlineLevel="0" collapsed="false">
      <c r="A21" s="9" t="s">
        <v>3273</v>
      </c>
      <c r="B21" s="9" t="s">
        <v>3274</v>
      </c>
      <c r="C21" s="9" t="s">
        <v>38</v>
      </c>
      <c r="D21" s="9" t="s">
        <v>3176</v>
      </c>
      <c r="E21" s="9" t="s">
        <v>3275</v>
      </c>
      <c r="F21" s="9" t="s">
        <v>3276</v>
      </c>
      <c r="G21" s="17" t="s">
        <v>3277</v>
      </c>
      <c r="H21" s="17" t="s">
        <v>3180</v>
      </c>
    </row>
    <row r="22" customFormat="false" ht="46.25" hidden="false" customHeight="false" outlineLevel="0" collapsed="false">
      <c r="A22" s="9" t="s">
        <v>3278</v>
      </c>
      <c r="B22" s="9" t="s">
        <v>3279</v>
      </c>
      <c r="C22" s="9" t="s">
        <v>38</v>
      </c>
      <c r="D22" s="9" t="s">
        <v>3189</v>
      </c>
      <c r="E22" s="9" t="s">
        <v>3280</v>
      </c>
      <c r="F22" s="9" t="s">
        <v>3281</v>
      </c>
      <c r="G22" s="17" t="s">
        <v>3282</v>
      </c>
      <c r="H22" s="17" t="s">
        <v>3180</v>
      </c>
    </row>
    <row r="23" customFormat="false" ht="57.45" hidden="false" customHeight="false" outlineLevel="0" collapsed="false">
      <c r="A23" s="9" t="s">
        <v>3283</v>
      </c>
      <c r="B23" s="9" t="s">
        <v>3284</v>
      </c>
      <c r="C23" s="9" t="s">
        <v>38</v>
      </c>
      <c r="D23" s="9" t="s">
        <v>3189</v>
      </c>
      <c r="E23" s="9" t="s">
        <v>3285</v>
      </c>
      <c r="F23" s="9" t="s">
        <v>3286</v>
      </c>
      <c r="G23" s="17" t="s">
        <v>3287</v>
      </c>
      <c r="H23" s="17" t="s">
        <v>3180</v>
      </c>
    </row>
    <row r="24" customFormat="false" ht="35.05" hidden="false" customHeight="false" outlineLevel="0" collapsed="false">
      <c r="A24" s="9" t="s">
        <v>3288</v>
      </c>
      <c r="B24" s="9" t="s">
        <v>3289</v>
      </c>
      <c r="C24" s="9" t="s">
        <v>38</v>
      </c>
      <c r="D24" s="9" t="s">
        <v>3176</v>
      </c>
      <c r="E24" s="9" t="s">
        <v>3290</v>
      </c>
      <c r="F24" s="9" t="s">
        <v>3291</v>
      </c>
      <c r="G24" s="17" t="s">
        <v>3292</v>
      </c>
      <c r="H24" s="17" t="s">
        <v>3180</v>
      </c>
    </row>
    <row r="25" customFormat="false" ht="35.05" hidden="false" customHeight="false" outlineLevel="0" collapsed="false">
      <c r="A25" s="9" t="s">
        <v>3293</v>
      </c>
      <c r="B25" s="9" t="s">
        <v>106</v>
      </c>
      <c r="C25" s="9" t="s">
        <v>38</v>
      </c>
      <c r="D25" s="9" t="s">
        <v>3183</v>
      </c>
      <c r="E25" s="9" t="s">
        <v>3294</v>
      </c>
      <c r="F25" s="9" t="s">
        <v>3295</v>
      </c>
      <c r="G25" s="17" t="s">
        <v>3296</v>
      </c>
      <c r="H25" s="17" t="s">
        <v>3180</v>
      </c>
    </row>
    <row r="26" customFormat="false" ht="57.45" hidden="false" customHeight="false" outlineLevel="0" collapsed="false">
      <c r="A26" s="9" t="s">
        <v>3297</v>
      </c>
      <c r="B26" s="9" t="s">
        <v>3298</v>
      </c>
      <c r="C26" s="9" t="s">
        <v>38</v>
      </c>
      <c r="D26" s="9" t="s">
        <v>3215</v>
      </c>
      <c r="E26" s="9" t="s">
        <v>3299</v>
      </c>
      <c r="F26" s="9" t="s">
        <v>3300</v>
      </c>
      <c r="G26" s="17" t="s">
        <v>3301</v>
      </c>
      <c r="H26" s="17" t="s">
        <v>3180</v>
      </c>
    </row>
    <row r="27" customFormat="false" ht="23.85" hidden="false" customHeight="false" outlineLevel="0" collapsed="false">
      <c r="A27" s="9" t="s">
        <v>3302</v>
      </c>
      <c r="B27" s="9" t="s">
        <v>3303</v>
      </c>
      <c r="C27" s="9" t="s">
        <v>48</v>
      </c>
      <c r="D27" s="9" t="s">
        <v>3176</v>
      </c>
      <c r="E27" s="9" t="s">
        <v>3304</v>
      </c>
      <c r="F27" s="9" t="s">
        <v>3305</v>
      </c>
      <c r="G27" s="17" t="s">
        <v>3306</v>
      </c>
      <c r="H27" s="17" t="s">
        <v>3180</v>
      </c>
    </row>
    <row r="28" customFormat="false" ht="35.05" hidden="false" customHeight="false" outlineLevel="0" collapsed="false">
      <c r="A28" s="9" t="s">
        <v>3307</v>
      </c>
      <c r="B28" s="9" t="s">
        <v>3303</v>
      </c>
      <c r="C28" s="9" t="s">
        <v>48</v>
      </c>
      <c r="D28" s="9" t="s">
        <v>3176</v>
      </c>
      <c r="E28" s="9" t="s">
        <v>3308</v>
      </c>
      <c r="F28" s="9" t="s">
        <v>3309</v>
      </c>
      <c r="G28" s="17" t="s">
        <v>3310</v>
      </c>
      <c r="H28" s="17" t="s">
        <v>3180</v>
      </c>
    </row>
    <row r="29" customFormat="false" ht="46.25" hidden="false" customHeight="false" outlineLevel="0" collapsed="false">
      <c r="A29" s="9" t="s">
        <v>3311</v>
      </c>
      <c r="B29" s="9" t="s">
        <v>3312</v>
      </c>
      <c r="C29" s="9" t="s">
        <v>58</v>
      </c>
      <c r="D29" s="9" t="s">
        <v>3176</v>
      </c>
      <c r="E29" s="9" t="s">
        <v>3313</v>
      </c>
      <c r="F29" s="9" t="s">
        <v>3314</v>
      </c>
      <c r="G29" s="17" t="s">
        <v>3315</v>
      </c>
      <c r="H29" s="17" t="s">
        <v>3180</v>
      </c>
    </row>
    <row r="30" customFormat="false" ht="57.45" hidden="false" customHeight="false" outlineLevel="0" collapsed="false">
      <c r="A30" s="9" t="s">
        <v>3316</v>
      </c>
      <c r="B30" s="9" t="s">
        <v>3317</v>
      </c>
      <c r="C30" s="9" t="s">
        <v>58</v>
      </c>
      <c r="D30" s="9" t="s">
        <v>3189</v>
      </c>
      <c r="E30" s="9" t="s">
        <v>3318</v>
      </c>
      <c r="F30" s="9" t="s">
        <v>3319</v>
      </c>
      <c r="G30" s="17" t="s">
        <v>3320</v>
      </c>
      <c r="H30" s="17" t="s">
        <v>3180</v>
      </c>
    </row>
    <row r="31" customFormat="false" ht="35.05" hidden="false" customHeight="false" outlineLevel="0" collapsed="false">
      <c r="A31" s="9" t="s">
        <v>3321</v>
      </c>
      <c r="B31" s="9" t="s">
        <v>3322</v>
      </c>
      <c r="C31" s="9" t="s">
        <v>58</v>
      </c>
      <c r="D31" s="9" t="s">
        <v>3189</v>
      </c>
      <c r="E31" s="9" t="s">
        <v>3323</v>
      </c>
      <c r="F31" s="9" t="s">
        <v>3324</v>
      </c>
      <c r="G31" s="17" t="s">
        <v>3325</v>
      </c>
      <c r="H31" s="17" t="s">
        <v>3180</v>
      </c>
    </row>
    <row r="32" customFormat="false" ht="57.45" hidden="false" customHeight="false" outlineLevel="0" collapsed="false">
      <c r="A32" s="9" t="s">
        <v>3326</v>
      </c>
      <c r="B32" s="9" t="s">
        <v>3327</v>
      </c>
      <c r="C32" s="9" t="s">
        <v>58</v>
      </c>
      <c r="D32" s="9" t="s">
        <v>3183</v>
      </c>
      <c r="E32" s="9" t="s">
        <v>3328</v>
      </c>
      <c r="F32" s="9" t="s">
        <v>3329</v>
      </c>
      <c r="G32" s="17" t="s">
        <v>3330</v>
      </c>
      <c r="H32" s="17" t="s">
        <v>3180</v>
      </c>
    </row>
    <row r="33" customFormat="false" ht="35.05" hidden="false" customHeight="false" outlineLevel="0" collapsed="false">
      <c r="A33" s="9" t="s">
        <v>3331</v>
      </c>
      <c r="B33" s="9" t="s">
        <v>3327</v>
      </c>
      <c r="C33" s="9" t="s">
        <v>58</v>
      </c>
      <c r="D33" s="9" t="s">
        <v>3201</v>
      </c>
      <c r="E33" s="9" t="s">
        <v>3332</v>
      </c>
      <c r="F33" s="9" t="s">
        <v>3333</v>
      </c>
      <c r="G33" s="17" t="s">
        <v>3334</v>
      </c>
      <c r="H33" s="17" t="s">
        <v>3335</v>
      </c>
    </row>
    <row r="34" customFormat="false" ht="46.25" hidden="false" customHeight="false" outlineLevel="0" collapsed="false">
      <c r="A34" s="9" t="s">
        <v>3336</v>
      </c>
      <c r="B34" s="9" t="s">
        <v>3337</v>
      </c>
      <c r="C34" s="9" t="s">
        <v>58</v>
      </c>
      <c r="D34" s="9" t="s">
        <v>3183</v>
      </c>
      <c r="E34" s="9" t="s">
        <v>3338</v>
      </c>
      <c r="F34" s="9" t="s">
        <v>3339</v>
      </c>
      <c r="G34" s="17" t="s">
        <v>3340</v>
      </c>
      <c r="H34" s="17" t="s">
        <v>3180</v>
      </c>
    </row>
    <row r="35" customFormat="false" ht="46.25" hidden="false" customHeight="false" outlineLevel="0" collapsed="false">
      <c r="A35" s="9" t="s">
        <v>3341</v>
      </c>
      <c r="B35" s="9" t="s">
        <v>3342</v>
      </c>
      <c r="C35" s="9" t="s">
        <v>58</v>
      </c>
      <c r="D35" s="9" t="s">
        <v>3215</v>
      </c>
      <c r="E35" s="9" t="s">
        <v>3343</v>
      </c>
      <c r="F35" s="9" t="s">
        <v>3344</v>
      </c>
      <c r="G35" s="17" t="s">
        <v>3345</v>
      </c>
      <c r="H35" s="17" t="s">
        <v>3180</v>
      </c>
    </row>
    <row r="36" customFormat="false" ht="23.85" hidden="false" customHeight="false" outlineLevel="0" collapsed="false">
      <c r="A36" s="9" t="s">
        <v>3346</v>
      </c>
      <c r="B36" s="9" t="s">
        <v>3347</v>
      </c>
      <c r="C36" s="9" t="s">
        <v>67</v>
      </c>
      <c r="D36" s="9" t="s">
        <v>3176</v>
      </c>
      <c r="E36" s="9" t="s">
        <v>3348</v>
      </c>
      <c r="F36" s="9" t="s">
        <v>3349</v>
      </c>
      <c r="G36" s="17" t="s">
        <v>3350</v>
      </c>
      <c r="H36" s="17" t="s">
        <v>3180</v>
      </c>
    </row>
    <row r="37" customFormat="false" ht="35.05" hidden="false" customHeight="false" outlineLevel="0" collapsed="false">
      <c r="A37" s="9" t="s">
        <v>3351</v>
      </c>
      <c r="B37" s="9" t="s">
        <v>3352</v>
      </c>
      <c r="C37" s="9" t="s">
        <v>67</v>
      </c>
      <c r="D37" s="9" t="s">
        <v>3201</v>
      </c>
      <c r="E37" s="9" t="s">
        <v>3353</v>
      </c>
      <c r="F37" s="9" t="s">
        <v>3354</v>
      </c>
      <c r="G37" s="17" t="s">
        <v>3355</v>
      </c>
      <c r="H37" s="17" t="s">
        <v>3180</v>
      </c>
    </row>
    <row r="38" customFormat="false" ht="23.85" hidden="false" customHeight="false" outlineLevel="0" collapsed="false">
      <c r="A38" s="9" t="s">
        <v>3356</v>
      </c>
      <c r="B38" s="9" t="s">
        <v>3357</v>
      </c>
      <c r="C38" s="9" t="s">
        <v>67</v>
      </c>
      <c r="D38" s="9" t="s">
        <v>3215</v>
      </c>
      <c r="E38" s="9" t="s">
        <v>3358</v>
      </c>
      <c r="F38" s="9" t="s">
        <v>3359</v>
      </c>
      <c r="G38" s="17" t="s">
        <v>3360</v>
      </c>
      <c r="H38" s="17" t="s">
        <v>3180</v>
      </c>
    </row>
    <row r="39" customFormat="false" ht="35.05" hidden="false" customHeight="false" outlineLevel="0" collapsed="false">
      <c r="A39" s="9" t="s">
        <v>3361</v>
      </c>
      <c r="B39" s="9" t="s">
        <v>3362</v>
      </c>
      <c r="C39" s="9" t="s">
        <v>76</v>
      </c>
      <c r="D39" s="9" t="s">
        <v>3195</v>
      </c>
      <c r="E39" s="9" t="s">
        <v>3363</v>
      </c>
      <c r="F39" s="9" t="s">
        <v>3364</v>
      </c>
      <c r="G39" s="17" t="s">
        <v>3365</v>
      </c>
      <c r="H39" s="17" t="s">
        <v>3180</v>
      </c>
    </row>
    <row r="40" customFormat="false" ht="23.85" hidden="false" customHeight="false" outlineLevel="0" collapsed="false">
      <c r="A40" s="9" t="s">
        <v>3366</v>
      </c>
      <c r="B40" s="9" t="s">
        <v>3367</v>
      </c>
      <c r="C40" s="9" t="s">
        <v>76</v>
      </c>
      <c r="D40" s="9" t="s">
        <v>3215</v>
      </c>
      <c r="E40" s="9" t="s">
        <v>3368</v>
      </c>
      <c r="F40" s="9" t="s">
        <v>3369</v>
      </c>
      <c r="G40" s="17" t="s">
        <v>3370</v>
      </c>
      <c r="H40" s="17" t="s">
        <v>3180</v>
      </c>
    </row>
    <row r="41" customFormat="false" ht="23.85" hidden="false" customHeight="false" outlineLevel="0" collapsed="false">
      <c r="A41" s="9" t="s">
        <v>3371</v>
      </c>
      <c r="B41" s="9" t="s">
        <v>3372</v>
      </c>
      <c r="C41" s="9" t="s">
        <v>84</v>
      </c>
      <c r="D41" s="9" t="s">
        <v>3201</v>
      </c>
      <c r="E41" s="9" t="s">
        <v>3373</v>
      </c>
      <c r="F41" s="9" t="s">
        <v>3374</v>
      </c>
      <c r="G41" s="17" t="s">
        <v>3375</v>
      </c>
      <c r="H41" s="17" t="s">
        <v>3180</v>
      </c>
    </row>
    <row r="42" customFormat="false" ht="57.45" hidden="false" customHeight="false" outlineLevel="0" collapsed="false">
      <c r="A42" s="9" t="s">
        <v>3376</v>
      </c>
      <c r="B42" s="9" t="s">
        <v>3377</v>
      </c>
      <c r="C42" s="9" t="s">
        <v>84</v>
      </c>
      <c r="D42" s="9" t="s">
        <v>3201</v>
      </c>
      <c r="E42" s="9" t="s">
        <v>3378</v>
      </c>
      <c r="F42" s="9" t="s">
        <v>3379</v>
      </c>
      <c r="G42" s="17" t="s">
        <v>3380</v>
      </c>
      <c r="H42" s="17" t="s">
        <v>3180</v>
      </c>
    </row>
    <row r="43" customFormat="false" ht="35.05" hidden="false" customHeight="false" outlineLevel="0" collapsed="false">
      <c r="A43" s="9" t="s">
        <v>3381</v>
      </c>
      <c r="B43" s="9" t="s">
        <v>3382</v>
      </c>
      <c r="C43" s="9" t="s">
        <v>84</v>
      </c>
      <c r="D43" s="9" t="s">
        <v>3176</v>
      </c>
      <c r="E43" s="9" t="s">
        <v>3383</v>
      </c>
      <c r="F43" s="9" t="s">
        <v>3384</v>
      </c>
      <c r="G43" s="17" t="s">
        <v>3385</v>
      </c>
      <c r="H43" s="17" t="s">
        <v>3180</v>
      </c>
    </row>
    <row r="44" customFormat="false" ht="23.85" hidden="false" customHeight="false" outlineLevel="0" collapsed="false">
      <c r="A44" s="9" t="s">
        <v>3386</v>
      </c>
      <c r="B44" s="9" t="s">
        <v>3387</v>
      </c>
      <c r="C44" s="9" t="s">
        <v>84</v>
      </c>
      <c r="D44" s="9" t="s">
        <v>3189</v>
      </c>
      <c r="E44" s="9" t="s">
        <v>3388</v>
      </c>
      <c r="F44" s="9" t="s">
        <v>3389</v>
      </c>
      <c r="G44" s="17" t="s">
        <v>3390</v>
      </c>
      <c r="H44" s="17" t="s">
        <v>3180</v>
      </c>
    </row>
    <row r="45" customFormat="false" ht="23.85" hidden="false" customHeight="false" outlineLevel="0" collapsed="false">
      <c r="A45" s="9" t="s">
        <v>3391</v>
      </c>
      <c r="B45" s="9" t="s">
        <v>3392</v>
      </c>
      <c r="C45" s="9" t="s">
        <v>84</v>
      </c>
      <c r="D45" s="9" t="s">
        <v>3183</v>
      </c>
      <c r="E45" s="9" t="s">
        <v>3393</v>
      </c>
      <c r="F45" s="9" t="s">
        <v>3394</v>
      </c>
      <c r="G45" s="17" t="s">
        <v>3395</v>
      </c>
      <c r="H45" s="17" t="s">
        <v>3180</v>
      </c>
    </row>
    <row r="46" customFormat="false" ht="23.85" hidden="false" customHeight="false" outlineLevel="0" collapsed="false">
      <c r="A46" s="9" t="s">
        <v>3396</v>
      </c>
      <c r="B46" s="9" t="s">
        <v>3397</v>
      </c>
      <c r="C46" s="9" t="s">
        <v>84</v>
      </c>
      <c r="D46" s="9" t="s">
        <v>3215</v>
      </c>
      <c r="E46" s="9" t="s">
        <v>3398</v>
      </c>
      <c r="F46" s="9" t="s">
        <v>3399</v>
      </c>
      <c r="G46" s="17" t="s">
        <v>3400</v>
      </c>
      <c r="H46" s="17" t="s">
        <v>3180</v>
      </c>
    </row>
    <row r="47" customFormat="false" ht="35.05" hidden="false" customHeight="false" outlineLevel="0" collapsed="false">
      <c r="A47" s="9" t="s">
        <v>3401</v>
      </c>
      <c r="B47" s="9" t="s">
        <v>3402</v>
      </c>
      <c r="C47" s="9" t="s">
        <v>92</v>
      </c>
      <c r="D47" s="9" t="s">
        <v>3189</v>
      </c>
      <c r="E47" s="9" t="s">
        <v>3403</v>
      </c>
      <c r="F47" s="9" t="s">
        <v>3404</v>
      </c>
      <c r="G47" s="17" t="s">
        <v>3405</v>
      </c>
      <c r="H47" s="17" t="s">
        <v>3180</v>
      </c>
    </row>
    <row r="48" customFormat="false" ht="46.25" hidden="false" customHeight="false" outlineLevel="0" collapsed="false">
      <c r="A48" s="9" t="s">
        <v>3406</v>
      </c>
      <c r="B48" s="9" t="s">
        <v>3407</v>
      </c>
      <c r="C48" s="9" t="s">
        <v>92</v>
      </c>
      <c r="D48" s="9" t="s">
        <v>3183</v>
      </c>
      <c r="E48" s="9" t="s">
        <v>3408</v>
      </c>
      <c r="F48" s="9" t="s">
        <v>3409</v>
      </c>
      <c r="G48" s="17" t="s">
        <v>3410</v>
      </c>
      <c r="H48" s="17" t="s">
        <v>3180</v>
      </c>
    </row>
    <row r="49" customFormat="false" ht="23.85" hidden="false" customHeight="false" outlineLevel="0" collapsed="false">
      <c r="A49" s="9" t="s">
        <v>3411</v>
      </c>
      <c r="B49" s="9" t="s">
        <v>3412</v>
      </c>
      <c r="C49" s="9" t="s">
        <v>92</v>
      </c>
      <c r="D49" s="9" t="s">
        <v>3215</v>
      </c>
      <c r="E49" s="9" t="s">
        <v>3413</v>
      </c>
      <c r="F49" s="9" t="s">
        <v>3414</v>
      </c>
      <c r="G49" s="17" t="s">
        <v>3415</v>
      </c>
      <c r="H49" s="17" t="s">
        <v>3180</v>
      </c>
    </row>
    <row r="50" customFormat="false" ht="46.25" hidden="false" customHeight="false" outlineLevel="0" collapsed="false">
      <c r="A50" s="9" t="s">
        <v>3416</v>
      </c>
      <c r="B50" s="9" t="s">
        <v>3417</v>
      </c>
      <c r="C50" s="9" t="s">
        <v>101</v>
      </c>
      <c r="D50" s="9" t="s">
        <v>3176</v>
      </c>
      <c r="E50" s="9" t="s">
        <v>3418</v>
      </c>
      <c r="F50" s="9" t="s">
        <v>3419</v>
      </c>
      <c r="G50" s="17" t="s">
        <v>3420</v>
      </c>
      <c r="H50" s="17" t="s">
        <v>3180</v>
      </c>
    </row>
    <row r="51" customFormat="false" ht="23.85" hidden="false" customHeight="false" outlineLevel="0" collapsed="false">
      <c r="A51" s="9" t="s">
        <v>3421</v>
      </c>
      <c r="B51" s="9" t="s">
        <v>3422</v>
      </c>
      <c r="C51" s="9" t="s">
        <v>111</v>
      </c>
      <c r="D51" s="9" t="s">
        <v>3215</v>
      </c>
      <c r="E51" s="9" t="s">
        <v>3423</v>
      </c>
      <c r="F51" s="9" t="s">
        <v>3424</v>
      </c>
      <c r="G51" s="17" t="s">
        <v>3425</v>
      </c>
      <c r="H51" s="17" t="s">
        <v>3180</v>
      </c>
    </row>
    <row r="52" customFormat="false" ht="35.05" hidden="false" customHeight="false" outlineLevel="0" collapsed="false">
      <c r="A52" s="9" t="s">
        <v>3426</v>
      </c>
      <c r="B52" s="9" t="s">
        <v>3427</v>
      </c>
      <c r="C52" s="9" t="s">
        <v>111</v>
      </c>
      <c r="D52" s="9" t="s">
        <v>3183</v>
      </c>
      <c r="E52" s="9" t="s">
        <v>3428</v>
      </c>
      <c r="F52" s="9" t="s">
        <v>3429</v>
      </c>
      <c r="G52" s="17" t="s">
        <v>3430</v>
      </c>
      <c r="H52" s="17" t="s">
        <v>3180</v>
      </c>
    </row>
    <row r="53" customFormat="false" ht="23.85" hidden="false" customHeight="false" outlineLevel="0" collapsed="false">
      <c r="A53" s="9" t="s">
        <v>3431</v>
      </c>
      <c r="B53" s="9" t="s">
        <v>3432</v>
      </c>
      <c r="C53" s="9" t="s">
        <v>121</v>
      </c>
      <c r="D53" s="9" t="s">
        <v>3195</v>
      </c>
      <c r="E53" s="9" t="s">
        <v>3433</v>
      </c>
      <c r="F53" s="9" t="s">
        <v>3434</v>
      </c>
      <c r="G53" s="17" t="s">
        <v>3435</v>
      </c>
      <c r="H53" s="17" t="s">
        <v>3180</v>
      </c>
    </row>
    <row r="54" customFormat="false" ht="23.85" hidden="false" customHeight="false" outlineLevel="0" collapsed="false">
      <c r="A54" s="9" t="s">
        <v>3436</v>
      </c>
      <c r="B54" s="9" t="s">
        <v>3437</v>
      </c>
      <c r="C54" s="9" t="s">
        <v>121</v>
      </c>
      <c r="D54" s="9" t="s">
        <v>3176</v>
      </c>
      <c r="E54" s="9" t="s">
        <v>3438</v>
      </c>
      <c r="F54" s="9" t="s">
        <v>3439</v>
      </c>
      <c r="G54" s="17" t="s">
        <v>3440</v>
      </c>
      <c r="H54" s="17" t="s">
        <v>3180</v>
      </c>
    </row>
    <row r="55" customFormat="false" ht="23.85" hidden="false" customHeight="false" outlineLevel="0" collapsed="false">
      <c r="A55" s="9" t="s">
        <v>3441</v>
      </c>
      <c r="B55" s="9" t="s">
        <v>3442</v>
      </c>
      <c r="C55" s="9" t="s">
        <v>121</v>
      </c>
      <c r="D55" s="9" t="s">
        <v>3176</v>
      </c>
      <c r="E55" s="9" t="s">
        <v>3443</v>
      </c>
      <c r="F55" s="9" t="s">
        <v>3444</v>
      </c>
      <c r="G55" s="17" t="s">
        <v>3445</v>
      </c>
      <c r="H55" s="17" t="s">
        <v>3180</v>
      </c>
    </row>
    <row r="56" customFormat="false" ht="46.25" hidden="false" customHeight="false" outlineLevel="0" collapsed="false">
      <c r="A56" s="9" t="s">
        <v>3446</v>
      </c>
      <c r="B56" s="9" t="s">
        <v>3447</v>
      </c>
      <c r="C56" s="9" t="s">
        <v>121</v>
      </c>
      <c r="D56" s="9" t="s">
        <v>3448</v>
      </c>
      <c r="E56" s="9" t="s">
        <v>3449</v>
      </c>
      <c r="F56" s="9" t="s">
        <v>3450</v>
      </c>
      <c r="G56" s="17" t="s">
        <v>3451</v>
      </c>
      <c r="H56" s="17" t="s">
        <v>3180</v>
      </c>
    </row>
    <row r="57" customFormat="false" ht="23.85" hidden="false" customHeight="false" outlineLevel="0" collapsed="false">
      <c r="A57" s="9" t="s">
        <v>3452</v>
      </c>
      <c r="B57" s="9" t="s">
        <v>3453</v>
      </c>
      <c r="C57" s="9" t="s">
        <v>121</v>
      </c>
      <c r="D57" s="9" t="s">
        <v>3215</v>
      </c>
      <c r="E57" s="9" t="s">
        <v>3454</v>
      </c>
      <c r="F57" s="9" t="s">
        <v>3455</v>
      </c>
      <c r="G57" s="17" t="s">
        <v>3456</v>
      </c>
      <c r="H57" s="17" t="s">
        <v>3180</v>
      </c>
    </row>
    <row r="58" customFormat="false" ht="35.05" hidden="false" customHeight="false" outlineLevel="0" collapsed="false">
      <c r="A58" s="9" t="s">
        <v>3457</v>
      </c>
      <c r="B58" s="9" t="s">
        <v>3458</v>
      </c>
      <c r="C58" s="9" t="s">
        <v>130</v>
      </c>
      <c r="D58" s="9" t="s">
        <v>3176</v>
      </c>
      <c r="E58" s="9" t="s">
        <v>3459</v>
      </c>
      <c r="F58" s="9" t="s">
        <v>3460</v>
      </c>
      <c r="G58" s="17" t="s">
        <v>3461</v>
      </c>
      <c r="H58" s="17" t="s">
        <v>3180</v>
      </c>
    </row>
    <row r="59" customFormat="false" ht="23.85" hidden="false" customHeight="false" outlineLevel="0" collapsed="false">
      <c r="A59" s="9" t="s">
        <v>3462</v>
      </c>
      <c r="B59" s="9" t="s">
        <v>3463</v>
      </c>
      <c r="C59" s="9" t="s">
        <v>130</v>
      </c>
      <c r="D59" s="9" t="s">
        <v>3176</v>
      </c>
      <c r="E59" s="9" t="s">
        <v>3464</v>
      </c>
      <c r="F59" s="9" t="s">
        <v>3465</v>
      </c>
      <c r="G59" s="17" t="s">
        <v>3466</v>
      </c>
      <c r="H59" s="17" t="s">
        <v>3180</v>
      </c>
    </row>
    <row r="60" customFormat="false" ht="46.25" hidden="false" customHeight="false" outlineLevel="0" collapsed="false">
      <c r="A60" s="9" t="s">
        <v>3467</v>
      </c>
      <c r="B60" s="9" t="s">
        <v>3468</v>
      </c>
      <c r="C60" s="9" t="s">
        <v>130</v>
      </c>
      <c r="D60" s="9" t="s">
        <v>3183</v>
      </c>
      <c r="E60" s="9" t="s">
        <v>3469</v>
      </c>
      <c r="F60" s="9" t="s">
        <v>3470</v>
      </c>
      <c r="G60" s="17" t="s">
        <v>3471</v>
      </c>
      <c r="H60" s="17" t="s">
        <v>3180</v>
      </c>
    </row>
    <row r="61" customFormat="false" ht="23.85" hidden="false" customHeight="false" outlineLevel="0" collapsed="false">
      <c r="A61" s="9" t="s">
        <v>3472</v>
      </c>
      <c r="B61" s="9" t="s">
        <v>3473</v>
      </c>
      <c r="C61" s="9" t="s">
        <v>130</v>
      </c>
      <c r="D61" s="9" t="s">
        <v>3215</v>
      </c>
      <c r="E61" s="9" t="s">
        <v>3474</v>
      </c>
      <c r="F61" s="9" t="s">
        <v>3475</v>
      </c>
      <c r="G61" s="17" t="s">
        <v>3476</v>
      </c>
      <c r="H61" s="17" t="s">
        <v>3180</v>
      </c>
    </row>
    <row r="62" customFormat="false" ht="35.05" hidden="false" customHeight="false" outlineLevel="0" collapsed="false">
      <c r="A62" s="9" t="s">
        <v>3477</v>
      </c>
      <c r="B62" s="9" t="s">
        <v>3478</v>
      </c>
      <c r="C62" s="9" t="s">
        <v>139</v>
      </c>
      <c r="D62" s="9" t="s">
        <v>3176</v>
      </c>
      <c r="E62" s="9" t="s">
        <v>3479</v>
      </c>
      <c r="F62" s="9" t="s">
        <v>3480</v>
      </c>
      <c r="G62" s="17" t="s">
        <v>3481</v>
      </c>
      <c r="H62" s="17" t="s">
        <v>3180</v>
      </c>
    </row>
    <row r="63" customFormat="false" ht="46.25" hidden="false" customHeight="false" outlineLevel="0" collapsed="false">
      <c r="A63" s="9" t="s">
        <v>3482</v>
      </c>
      <c r="B63" s="9" t="s">
        <v>3483</v>
      </c>
      <c r="C63" s="9" t="s">
        <v>139</v>
      </c>
      <c r="D63" s="9" t="s">
        <v>3176</v>
      </c>
      <c r="E63" s="9" t="s">
        <v>3484</v>
      </c>
      <c r="F63" s="9" t="s">
        <v>3485</v>
      </c>
      <c r="G63" s="17" t="s">
        <v>3486</v>
      </c>
      <c r="H63" s="17" t="s">
        <v>3180</v>
      </c>
    </row>
    <row r="64" customFormat="false" ht="35.05" hidden="false" customHeight="false" outlineLevel="0" collapsed="false">
      <c r="A64" s="9" t="s">
        <v>3487</v>
      </c>
      <c r="B64" s="9" t="s">
        <v>3483</v>
      </c>
      <c r="C64" s="9" t="s">
        <v>139</v>
      </c>
      <c r="D64" s="9" t="s">
        <v>3183</v>
      </c>
      <c r="E64" s="9" t="s">
        <v>3488</v>
      </c>
      <c r="F64" s="9" t="s">
        <v>3489</v>
      </c>
      <c r="G64" s="17" t="s">
        <v>3490</v>
      </c>
      <c r="H64" s="17" t="s">
        <v>3180</v>
      </c>
    </row>
    <row r="65" customFormat="false" ht="23.85" hidden="false" customHeight="false" outlineLevel="0" collapsed="false">
      <c r="A65" s="9" t="s">
        <v>3491</v>
      </c>
      <c r="B65" s="9" t="s">
        <v>3492</v>
      </c>
      <c r="C65" s="9" t="s">
        <v>139</v>
      </c>
      <c r="D65" s="9" t="s">
        <v>3183</v>
      </c>
      <c r="E65" s="9" t="s">
        <v>3493</v>
      </c>
      <c r="F65" s="9" t="s">
        <v>3494</v>
      </c>
      <c r="G65" s="17" t="s">
        <v>3495</v>
      </c>
      <c r="H65" s="17" t="s">
        <v>3180</v>
      </c>
    </row>
    <row r="66" customFormat="false" ht="23.85" hidden="false" customHeight="false" outlineLevel="0" collapsed="false">
      <c r="A66" s="9" t="s">
        <v>3496</v>
      </c>
      <c r="B66" s="9" t="s">
        <v>3497</v>
      </c>
      <c r="C66" s="9" t="s">
        <v>158</v>
      </c>
      <c r="D66" s="9" t="s">
        <v>3176</v>
      </c>
      <c r="E66" s="9" t="s">
        <v>3498</v>
      </c>
      <c r="F66" s="9" t="s">
        <v>3499</v>
      </c>
      <c r="G66" s="17" t="s">
        <v>3350</v>
      </c>
      <c r="H66" s="17" t="s">
        <v>3180</v>
      </c>
    </row>
    <row r="67" customFormat="false" ht="23.85" hidden="false" customHeight="false" outlineLevel="0" collapsed="false">
      <c r="A67" s="9" t="s">
        <v>3500</v>
      </c>
      <c r="B67" s="9" t="s">
        <v>3501</v>
      </c>
      <c r="C67" s="9" t="s">
        <v>158</v>
      </c>
      <c r="D67" s="9" t="s">
        <v>3189</v>
      </c>
      <c r="E67" s="9" t="s">
        <v>3502</v>
      </c>
      <c r="F67" s="9" t="s">
        <v>3503</v>
      </c>
      <c r="G67" s="17" t="s">
        <v>3504</v>
      </c>
      <c r="H67" s="17" t="s">
        <v>3180</v>
      </c>
    </row>
    <row r="68" customFormat="false" ht="23.85" hidden="false" customHeight="false" outlineLevel="0" collapsed="false">
      <c r="A68" s="9" t="s">
        <v>3505</v>
      </c>
      <c r="B68" s="9" t="s">
        <v>3506</v>
      </c>
      <c r="C68" s="9" t="s">
        <v>158</v>
      </c>
      <c r="D68" s="9" t="s">
        <v>3215</v>
      </c>
      <c r="E68" s="9" t="s">
        <v>3507</v>
      </c>
      <c r="F68" s="9" t="s">
        <v>3508</v>
      </c>
      <c r="G68" s="17" t="s">
        <v>3509</v>
      </c>
      <c r="H68" s="17" t="s">
        <v>3180</v>
      </c>
    </row>
    <row r="69" customFormat="false" ht="35.05" hidden="false" customHeight="false" outlineLevel="0" collapsed="false">
      <c r="A69" s="9" t="s">
        <v>3510</v>
      </c>
      <c r="B69" s="9" t="s">
        <v>106</v>
      </c>
      <c r="C69" s="9" t="s">
        <v>106</v>
      </c>
      <c r="D69" s="9" t="s">
        <v>3183</v>
      </c>
      <c r="E69" s="9" t="s">
        <v>3511</v>
      </c>
      <c r="F69" s="9" t="s">
        <v>3512</v>
      </c>
      <c r="G69" s="17" t="s">
        <v>3513</v>
      </c>
      <c r="H69" s="17" t="s">
        <v>3180</v>
      </c>
    </row>
  </sheetData>
  <autoFilter ref="A1:H6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2026-09-29T03:31:22Z</dcterms:created>
  <dc:creator>openpyxl</dc:creator>
  <dc:description/>
  <dc:language>en-US</dc:language>
  <cp:lastModifiedBy/>
  <dcterms:modified xsi:type="dcterms:W3CDTF">2026-09-29T03:31:23Z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