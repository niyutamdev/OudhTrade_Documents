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ecisions" sheetId="2" state="visible" r:id="rId4"/>
    <sheet name="DB-02 for dev team" sheetId="3" state="visible" r:id="rId5"/>
    <sheet name="Table map" sheetId="4" state="visible" r:id="rId6"/>
    <sheet name="Only in our docs" sheetId="5" state="visible" r:id="rId7"/>
    <sheet name="Column checks" sheetId="6" state="visible" r:id="rId8"/>
  </sheets>
  <definedNames>
    <definedName function="false" hidden="true" localSheetId="5" name="_xlnm._FilterDatabase" vbProcedure="false">'Column checks'!$A$1:$F$23</definedName>
    <definedName function="false" hidden="true" localSheetId="1" name="_xlnm._FilterDatabase" vbProcedure="false">Decisions!$A$1:$L$27</definedName>
    <definedName function="false" hidden="true" localSheetId="4" name="_xlnm._FilterDatabase" vbProcedure="false">'Only in our docs'!$A$1:$E$34</definedName>
    <definedName function="false" hidden="true" localSheetId="3" name="_xlnm._FilterDatabase" vbProcedure="false">'Table map'!$A$1:$F$34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<sst xmlns="http://schemas.openxmlformats.org/spreadsheetml/2006/main" count="799" uniqueCount="506">
  <si>
    <t xml:space="preserve">OudhTrade — Onboarding database review (developer schema vs M02/M03 design)</t>
  </si>
  <si>
    <t xml:space="preserve">Compares db-models.txt (31 tables, one schema, Prisma) with M02-5 (19 tables, identity schema) and M03-5 (35 tables, profile schema). No document was changed. Decide each row on the Decisions sheet.</t>
  </si>
  <si>
    <t xml:space="preserve">How to use</t>
  </si>
  <si>
    <t xml:space="preserve">Yellow cells are for the product owner: write the decision, set Status (Open · Decided · Discuss · Later). Counts below update automatically.</t>
  </si>
  <si>
    <t xml:space="preserve">Decisions by status</t>
  </si>
  <si>
    <t xml:space="preserve">Decisions by impact</t>
  </si>
  <si>
    <t xml:space="preserve">Open</t>
  </si>
  <si>
    <t xml:space="preserve">High</t>
  </si>
  <si>
    <t xml:space="preserve">Decided</t>
  </si>
  <si>
    <t xml:space="preserve">Medium</t>
  </si>
  <si>
    <t xml:space="preserve">Discuss</t>
  </si>
  <si>
    <t xml:space="preserve">Low</t>
  </si>
  <si>
    <t xml:space="preserve">Later</t>
  </si>
  <si>
    <t xml:space="preserve">Total</t>
  </si>
  <si>
    <t xml:space="preserve">Table map</t>
  </si>
  <si>
    <t xml:space="preserve">Tables only in our docs (rows)</t>
  </si>
  <si>
    <t xml:space="preserve">Same</t>
  </si>
  <si>
    <t xml:space="preserve">Partial</t>
  </si>
  <si>
    <t xml:space="preserve">Different</t>
  </si>
  <si>
    <t xml:space="preserve">Only in dev</t>
  </si>
  <si>
    <t xml:space="preserve">Biggest questions</t>
  </si>
  <si>
    <t xml:space="preserve">1. DB-01 Form builder vs fixed wizard (or hybrid)</t>
  </si>
  <si>
    <t xml:space="preserve">2. DB-02 Passwords and sessions in Keycloak or in our own tables</t>
  </si>
  <si>
    <t xml:space="preserve">3. DB-08/09 Business numbers: flat plain columns vs typed, encrypted registrations</t>
  </si>
  <si>
    <t xml:space="preserve">4. DB-23 Tables the dev schema doesn't have yet (badges, farmers, invitations, security, audit)</t>
  </si>
  <si>
    <t xml:space="preserve">ID</t>
  </si>
  <si>
    <t xml:space="preserve">Area</t>
  </si>
  <si>
    <t xml:space="preserve">Impact</t>
  </si>
  <si>
    <t xml:space="preserve">Topic</t>
  </si>
  <si>
    <t xml:space="preserve">Dev database (db-models.txt)</t>
  </si>
  <si>
    <t xml:space="preserve">Our documents (M02-5 / M03-5)</t>
  </si>
  <si>
    <t xml:space="preserve">Why it matters</t>
  </si>
  <si>
    <t xml:space="preserve">Options</t>
  </si>
  <si>
    <t xml:space="preserve">Recommendation</t>
  </si>
  <si>
    <t xml:space="preserve">Product owner decision</t>
  </si>
  <si>
    <t xml:space="preserve">Status</t>
  </si>
  <si>
    <t xml:space="preserve">Notes</t>
  </si>
  <si>
    <t xml:space="preserve">DB-01</t>
  </si>
  <si>
    <t xml:space="preserve">Architecture</t>
  </si>
  <si>
    <t xml:space="preserve">How onboarding forms are built</t>
  </si>
  <si>
    <t xml:space="preserve">Form builder: admin creates flows, steps and fields (onboarding_flows, onboarding_flow_steps, available_fields, onboarding_flow_step_fields) and custom fields answered in profile_field_values (JSON).</t>
  </si>
  <si>
    <t xml:space="preserve">Fixed wizard (8 business steps, farmer simple wizard, buyer 1-minute profile). Admin edits only Required/Recommended items and order (editor E4) and document checklists (E1). Every field is a real column with its own rules (encryption, masking, public/private, retention).</t>
  </si>
  <si>
    <t xml:space="preserve">Form builder is flexible but each admin-made field has no privacy, masking, retention or validation rules; harder to test, search and report; data spread into JSON.</t>
  </si>
  <si>
    <t xml:space="preserve">A) Keep fixed wizard (our docs). B) Adopt form builder for everything. C) Hybrid: fixed core fields as real columns + form builder only for optional extra questions (custom fields marked Internal, never ID or contact data).</t>
  </si>
  <si>
    <t xml:space="preserve">C — Hybrid</t>
  </si>
  <si>
    <t xml:space="preserve">Hybrid: core fields stay real columns with their rules; admin form builder only for optional extra questions (never ID or contact data; internal).</t>
  </si>
  <si>
    <t xml:space="preserve">DB-02</t>
  </si>
  <si>
    <t xml:space="preserve">Passwords, codes and sign-in sessions</t>
  </si>
  <si>
    <t xml:space="preserve">Stored in our own database: users.password_hash, pending_signups (otp_hash), password_resets, refresh_sessions.</t>
  </si>
  <si>
    <t xml:space="preserve">Keycloak holds passwords, one-time-code secrets, authenticator/passkey, backup codes and sessions (own small database). Redis holds short-lived codes. M02 keeps accounts, external_identities, security_events.</t>
  </si>
  <si>
    <t xml:space="preserve">Own auth code must build and secure lockouts, 2-step sign-in, passkeys for staff, token rotation and breach response ourselves. Keycloak gives these tested.</t>
  </si>
  <si>
    <t xml:space="preserve">A) Keycloak (our docs). B) Own tables (dev). C) Own tables now, Keycloak later (migration cost).</t>
  </si>
  <si>
    <t xml:space="preserve">A — Keycloak</t>
  </si>
  <si>
    <t xml:space="preserve">Owner: 2-step only for staff; users sign in with Google / Apple / email / phone; code checked at account creation, then password. Where passwords and codes live (Keycloak vs own tables) — asked the dev team; see sheet "DB-02 for dev team".</t>
  </si>
  <si>
    <t xml:space="preserve">DB-03</t>
  </si>
  <si>
    <t xml:space="preserve">One schema or one schema per module</t>
  </si>
  <si>
    <t xml:space="preserve">One schema, 31 tables, Prisma.</t>
  </si>
  <si>
    <t xml:space="preserve">Separate schemas per module: identity (M02, 19 tables), profile (M03, 35), platform (M01). Modules read each other only through interfaces.</t>
  </si>
  <si>
    <t xml:space="preserve">One schema is simpler at the start but modules become tangled; later split is costly. Prisma supports several schemas.</t>
  </si>
  <si>
    <t xml:space="preserve">A) Per-module schemas (our docs). B) Single schema.</t>
  </si>
  <si>
    <t xml:space="preserve">A — per-module schemas (Prisma multiSchema)</t>
  </si>
  <si>
    <t xml:space="preserve">One schema per module (identity, profile, platform …) in one PostgreSQL; Prisma multiSchema.</t>
  </si>
  <si>
    <t xml:space="preserve">DB-04</t>
  </si>
  <si>
    <t xml:space="preserve">Roles</t>
  </si>
  <si>
    <t xml:space="preserve">Roles: fixed list or admin table</t>
  </si>
  <si>
    <t xml:space="preserve">roles, entity_types, role_entity_types tables — admin can add new roles and entity types (e.g. Cooperative, Trust).</t>
  </si>
  <si>
    <t xml:space="preserve">Six fixed roles in code (Buyer individual/business; Seller, Company, Nursery, Inoculation Provider business; Farmer individual). New role needs a release. Co-operative/FPO is a Company with a badge.</t>
  </si>
  <si>
    <t xml:space="preserve">A new role changes permissions, listings, plans and verification rules in many modules — not safe as a data-only change.</t>
  </si>
  <si>
    <t xml:space="preserve">A) Fixed roles; keep a reference table for labels only. B) Admin-added roles.</t>
  </si>
  <si>
    <t xml:space="preserve">A — fixed roles, reference table for labels</t>
  </si>
  <si>
    <t xml:space="preserve">Admin can add roles (dev approach).</t>
  </si>
  <si>
    <t xml:space="preserve">Guardrails to confirm: a new role needs its entity types, allowed categories, document checklist, onboarding flow and plans set up, and a Super Admin approval; code checks capabilities, not role names.</t>
  </si>
  <si>
    <t xml:space="preserve">DB-05</t>
  </si>
  <si>
    <t xml:space="preserve">Changing role after sign-up</t>
  </si>
  <si>
    <t xml:space="preserve">Profile role is fixed at sign-up (role_entity_type_id never changes).</t>
  </si>
  <si>
    <t xml:space="preserve">Role change by request, upgrades only (Buyer → any selling role; Farmer → Seller; Seller/Nursery/Inoculation Provider → Company); Admin decides; role_assignments + role_change_requests.</t>
  </si>
  <si>
    <t xml:space="preserve">Without it, users who grow must open a new account and lose history.</t>
  </si>
  <si>
    <t xml:space="preserve">A) Our rule. B) Fixed at sign-up.</t>
  </si>
  <si>
    <t xml:space="preserve">A — our rule</t>
  </si>
  <si>
    <t xml:space="preserve">Our rule: role upgrades by request (Buyer → selling role, Farmer → Seller, Seller/Nursery/Inoculation Provider → Company); Admin decides; dev adds role_change_requests.</t>
  </si>
  <si>
    <t xml:space="preserve">DB-06</t>
  </si>
  <si>
    <t xml:space="preserve">Staff accounts</t>
  </si>
  <si>
    <t xml:space="preserve">Staff are users with users.role_id (a staff role).</t>
  </si>
  <si>
    <t xml:space="preserve">staff_users separate, own sign-in realm, 2-step sign-in, security keys for Super Admin/Finance, VPN-only admin app, quarterly access review, Senior Moderator flag.</t>
  </si>
  <si>
    <t xml:space="preserve">Mixing staff and customers in one table raises risk (privilege mistakes).</t>
  </si>
  <si>
    <t xml:space="preserve">A) Separate staff (our docs). B) Same users table.</t>
  </si>
  <si>
    <t xml:space="preserve">A — separate staff</t>
  </si>
  <si>
    <t xml:space="preserve">Separate staff_users table with its own sign-in, 2-step, security keys, VPN-only admin app, access review.</t>
  </si>
  <si>
    <t xml:space="preserve">DB-07</t>
  </si>
  <si>
    <t xml:space="preserve">Lists</t>
  </si>
  <si>
    <t xml:space="preserve">Admin-editable lists</t>
  </si>
  <si>
    <t xml:space="preserve">Generic tag_groups / tags / tag_roles / profile_tags for interests, species, document types, platforms, site types, capacity units (with parent-child).</t>
  </si>
  <si>
    <t xml:space="preserve">Categories and species from the M04 taxonomy; which role sees what from the M04 role-to-category table; document types from document_checklists; site types and platforms as settings.</t>
  </si>
  <si>
    <t xml:space="preserve">Generic tags are easy and admin-friendly; but taxonomy items carry rules (units, compliance, CITES) that M04 owns.</t>
  </si>
  <si>
    <t xml:space="preserve">A) Our split. B) Generic tags for everything. C) Tags for simple lists (site types, platforms, capacity units, techniques); M04 taxonomy for products/species; document_checklists for documents.</t>
  </si>
  <si>
    <t xml:space="preserve">C — mix</t>
  </si>
  <si>
    <t xml:space="preserve">Mix: dev tags for simple lists (site types, platforms, capacity units, techniques); M04 taxonomy for products and species; document_checklists for document types.</t>
  </si>
  <si>
    <t xml:space="preserve">DB-08</t>
  </si>
  <si>
    <t xml:space="preserve">Business</t>
  </si>
  <si>
    <t xml:space="preserve">Business registration numbers</t>
  </si>
  <si>
    <t xml:space="preserve">business_details: one flat row — gstin, pan_number, trade_license_no, export_license_iec, sector_license, authorised rep name and mobile.</t>
  </si>
  <si>
    <t xml:space="preserve">business_registrations: many per profile, typed by country rules (country_id_rules), with registry-check result, issuing authority, status, masked; authorised_persons with ID check and proof of authority; country of registration first.</t>
  </si>
  <si>
    <t xml:space="preserve">Flat columns are India-only; a global site needs UAE trade licence + authority, Saudi CR etc.; registry checks and expiry need per-number rows.</t>
  </si>
  <si>
    <t xml:space="preserve">A) Our model. B) Flat columns.</t>
  </si>
  <si>
    <t xml:space="preserve">A — our model</t>
  </si>
  <si>
    <t xml:space="preserve">Typed rows: business_registrations (type from country rules, issuing authority, registry check, expiry) + authorised person record.</t>
  </si>
  <si>
    <t xml:space="preserve">DB-09</t>
  </si>
  <si>
    <t xml:space="preserve">Privacy</t>
  </si>
  <si>
    <t xml:space="preserve">Encryption and masking of ID numbers</t>
  </si>
  <si>
    <t xml:space="preserve">GSTIN, PAN, IEC, document numbers and rep mobile stored as plain text.</t>
  </si>
  <si>
    <t xml:space="preserve">Encrypted, shown masked, hashed for duplicate checks; PAN always private; Aadhaar number never stored (last 4 only).</t>
  </si>
  <si>
    <t xml:space="preserve">Plain ID numbers = high breach impact and DPDP/GDPR risk.</t>
  </si>
  <si>
    <t xml:space="preserve">A) Encrypt + mask + hash (our docs). B) Plain text.</t>
  </si>
  <si>
    <t xml:space="preserve">Encrypt + mask + hash all ID numbers; PAN never public; Aadhaar number never stored.</t>
  </si>
  <si>
    <t xml:space="preserve">DB-10</t>
  </si>
  <si>
    <t xml:space="preserve">Date of birth</t>
  </si>
  <si>
    <t xml:space="preserve">individual_identities.date_of_birth stored.</t>
  </si>
  <si>
    <t xml:space="preserve">No date of birth collected; only the 18+ declaration (decision; Figma review removed DOB).</t>
  </si>
  <si>
    <t xml:space="preserve">Collecting DOB adds sensitive data we don't need.</t>
  </si>
  <si>
    <t xml:space="preserve">A) No DOB (our decision). B) Keep DOB.</t>
  </si>
  <si>
    <t xml:space="preserve">A — no DOB</t>
  </si>
  <si>
    <t xml:space="preserve">Do not collect date of birth; 18+ declaration only; remove date_of_birth.</t>
  </si>
  <si>
    <t xml:space="preserve">DB-11</t>
  </si>
  <si>
    <t xml:space="preserve">Consents and legal acceptances</t>
  </si>
  <si>
    <t xml:space="preserve">users.consent_marketing and consent_data_sharing (true/false only).</t>
  </si>
  <si>
    <t xml:space="preserve">consents (per purpose: marketing_email, marketing_sms, marketing_whatsapp…, with time, text version, channel) and legal_acceptances (Terms and Privacy versions).</t>
  </si>
  <si>
    <t xml:space="preserve">Privacy law needs proof of what was agreed, when and which version; withdrawal history.</t>
  </si>
  <si>
    <t xml:space="preserve">A) Our tables. B) Booleans.</t>
  </si>
  <si>
    <t xml:space="preserve">A — our tables</t>
  </si>
  <si>
    <t xml:space="preserve">Versioned records: consents per purpose (with time, text version, withdrawals) + legal_acceptances.</t>
  </si>
  <si>
    <t xml:space="preserve">DB-12</t>
  </si>
  <si>
    <t xml:space="preserve">Verification</t>
  </si>
  <si>
    <t xml:space="preserve">Verification statuses</t>
  </si>
  <si>
    <t xml:space="preserve">VerificationStatus: not_submitted, pending, verified, rejected. ApplicationStatus: draft, submitted, in_review, approved, rejected, changes_requested.</t>
  </si>
  <si>
    <t xml:space="preserve">8 states: not_started, pending, verified, rejected, resubmitted, expired, on_hold, revoked; plus case states and documents_needed.</t>
  </si>
  <si>
    <t xml:space="preserve">Without expired / on_hold / revoked we can't handle document expiry, sanctions holds or proven fraud.</t>
  </si>
  <si>
    <t xml:space="preserve">A) Our states. B) Dev states.</t>
  </si>
  <si>
    <t xml:space="preserve">A — our states (map changes_requested = documents_needed)</t>
  </si>
  <si>
    <t xml:space="preserve">Our 8 verification states; dev changes_requested = documents needed.</t>
  </si>
  <si>
    <t xml:space="preserve">DB-13</t>
  </si>
  <si>
    <t xml:space="preserve">Application / review model</t>
  </si>
  <si>
    <t xml:space="preserve">onboarding_applications + onboarding_application_steps (draft JSON) + onboarding_review_events.</t>
  </si>
  <si>
    <t xml:space="preserve">verification_cases (types: onboarding, re-verification, role change, combined buyer→seller, staff badge), verification_documents, profile_drafts, state history; fast lane; ETA.</t>
  </si>
  <si>
    <t xml:space="preserve">Dev model covers first onboarding only; re-verification, role change and badges need case types.</t>
  </si>
  <si>
    <t xml:space="preserve">A) Our cases (can reuse dev names). B) Dev model only.</t>
  </si>
  <si>
    <t xml:space="preserve">A — our model, keep dev's clear step-progress idea</t>
  </si>
  <si>
    <t xml:space="preserve">verification_cases with case types, plus dev per-step progress and review-event history.</t>
  </si>
  <si>
    <t xml:space="preserve">DB-14</t>
  </si>
  <si>
    <t xml:space="preserve">Identity check (DigiLocker, Aadhaar OTP, selfie)</t>
  </si>
  <si>
    <t xml:space="preserve">Not present — only uploaded documents.</t>
  </si>
  <si>
    <t xml:space="preserve">identity_checks, verification_consents; wizard step 3 'Check your identity'; alternatives (video call, field agent).</t>
  </si>
  <si>
    <t xml:space="preserve">Without it, verification is only document photos — weak against fake accounts.</t>
  </si>
  <si>
    <t xml:space="preserve">A) Add our tables. B) Documents only.</t>
  </si>
  <si>
    <t xml:space="preserve">A — add</t>
  </si>
  <si>
    <t xml:space="preserve">Add identity_checks + verification_consents (DigiLocker, Aadhaar OTP when approved, selfie, video call).</t>
  </si>
  <si>
    <t xml:space="preserve">DB-15</t>
  </si>
  <si>
    <t xml:space="preserve">Profile</t>
  </si>
  <si>
    <t xml:space="preserve">Store name vs legal name, name history, translations</t>
  </si>
  <si>
    <t xml:space="preserve">profiles.display_name + business_details.legal_name; no history; no translations.</t>
  </si>
  <si>
    <t xml:space="preserve">Store (trading) name + legal name locked after verification; name_history ('Formerly…' 90 days); profile_translations.</t>
  </si>
  <si>
    <t xml:space="preserve">Name changes without history can hide bad sellers.</t>
  </si>
  <si>
    <t xml:space="preserve">A) Our tables. B) Dev.</t>
  </si>
  <si>
    <t xml:space="preserve">Our tables: store name + legal name locked after verification, name_history, profile_translations.</t>
  </si>
  <si>
    <t xml:space="preserve">DB-16</t>
  </si>
  <si>
    <t xml:space="preserve">Contact hours</t>
  </si>
  <si>
    <t xml:space="preserve">profile_availabilities: one per profile (timezone, working days bitmask, contact from/to, reachable outside hours).</t>
  </si>
  <si>
    <t xml:space="preserve">contact_hours per business location (profile_addresses), public as 'Usually available…'.</t>
  </si>
  <si>
    <t xml:space="preserve">Businesses with several sites have different hours; dev's timezone field is useful.</t>
  </si>
  <si>
    <t xml:space="preserve">A) Per location (our docs) + add timezone. B) Per profile. C) Both (profile default, location override).</t>
  </si>
  <si>
    <t xml:space="preserve">C — profile default + location override</t>
  </si>
  <si>
    <t xml:space="preserve">Both: dev profile_availabilities (timezone, working days, hours) as default; a location can override.</t>
  </si>
  <si>
    <t xml:space="preserve">DB-17</t>
  </si>
  <si>
    <t xml:space="preserve">Addresses, sites and map pin</t>
  </si>
  <si>
    <t xml:space="preserve">addresses (lat/long, pincode) + sites (site type tag, label, contact from/to) + site_media.</t>
  </si>
  <si>
    <t xml:space="preserve">profile_addresses (address type, site type, label, contact hours, 2 photos + 1 video via M01 files, landmark, village private, map pin private).</t>
  </si>
  <si>
    <t xml:space="preserve">Close match. Dev lacks landmark, village, public/private flags, photo safety review.</t>
  </si>
  <si>
    <t xml:space="preserve">A) Our columns (can keep dev's sites + addresses split).</t>
  </si>
  <si>
    <t xml:space="preserve">A — keep dev split, add our columns</t>
  </si>
  <si>
    <t xml:space="preserve">Keep dev addresses + sites + site media; add landmark, village (private), site label, public/private flags, photo safety review; map pin reviewer-only.</t>
  </si>
  <si>
    <t xml:space="preserve">DB-18</t>
  </si>
  <si>
    <t xml:space="preserve">Web and social links</t>
  </si>
  <si>
    <t xml:space="preserve">social_links per platform tag — includes WhatsApp Business.</t>
  </si>
  <si>
    <t xml:space="preserve">profile_links: Website, Instagram, Facebook, YouTube, LinkedIn, X only; no WhatsApp/phone; ownership check (meta tag / file / bio code) and safety scan; shown after verification.</t>
  </si>
  <si>
    <t xml:space="preserve">WhatsApp link exposes contact; conflicts with 'contact through OudhTrade'.</t>
  </si>
  <si>
    <t xml:space="preserve">A) Our rule. B) Allow WhatsApp.</t>
  </si>
  <si>
    <t xml:space="preserve">No WhatsApp or phone links; Website, Instagram, Facebook, YouTube, LinkedIn, X; ownership check + safety scan; shown after verification.</t>
  </si>
  <si>
    <t xml:space="preserve">DB-19</t>
  </si>
  <si>
    <t xml:space="preserve">Documents</t>
  </si>
  <si>
    <t xml:space="preserve">Document files</t>
  </si>
  <si>
    <t xml:space="preserve">document_files with side (front/back/selfie/page), url (private key), size, mime.</t>
  </si>
  <si>
    <t xml:space="preserve">Files stored once in M01 platform.files (virus scan, private bucket, watermark viewer, retention); verification_documents refers to file IDs; 'Other document' title.</t>
  </si>
  <si>
    <t xml:space="preserve">Dev's side label is useful; file safety/retention should be central.</t>
  </si>
  <si>
    <t xml:space="preserve">A) Our M01 files + add side label. B) Dev only.</t>
  </si>
  <si>
    <t xml:space="preserve">A — M01 files + adopt 'side'</t>
  </si>
  <si>
    <t xml:space="preserve">Central M01 file store + adopt dev side label (front/back/selfie/page).</t>
  </si>
  <si>
    <t xml:space="preserve">DB-20</t>
  </si>
  <si>
    <t xml:space="preserve">Required documents per step</t>
  </si>
  <si>
    <t xml:space="preserve">onboarding_flow_step_documents with any_of_group ('Passport OR National ID') and max_files.</t>
  </si>
  <si>
    <t xml:space="preserve">document_checklists per country + role (versioned, validity, formats, retention, conditions).</t>
  </si>
  <si>
    <t xml:space="preserve">Dev lacks country and version; our design lacks a clear any-of group field.</t>
  </si>
  <si>
    <t xml:space="preserve">A) Our checklists + adopt any_of_group and max_files.</t>
  </si>
  <si>
    <t xml:space="preserve">A — ours + adopt any_of_group</t>
  </si>
  <si>
    <t xml:space="preserve">Our document_checklists + adopt dev any-of group and max files per slot.</t>
  </si>
  <si>
    <t xml:space="preserve">DB-21</t>
  </si>
  <si>
    <t xml:space="preserve">Capability (Nursery / Inoculation Provider)</t>
  </si>
  <si>
    <t xml:space="preserve">inoculation_capabilities: radius, capacity per month, unit tag, notes.</t>
  </si>
  <si>
    <t xml:space="preserve">service_capabilities: techniques, species, coverage areas, radius (private), capacity (private) + public bands, trees treated, seedlings per year (Nursery).</t>
  </si>
  <si>
    <t xml:space="preserve">Dev covers only Inoculation Provider and has no public ranges.</t>
  </si>
  <si>
    <t xml:space="preserve">A) Our table.</t>
  </si>
  <si>
    <t xml:space="preserve">A — our table</t>
  </si>
  <si>
    <t xml:space="preserve">Our service_capabilities (Nursery + Inoculation Provider, public ranges).</t>
  </si>
  <si>
    <t xml:space="preserve">DB-22</t>
  </si>
  <si>
    <t xml:space="preserve">Accounts</t>
  </si>
  <si>
    <t xml:space="preserve">Phone number and recycled numbers</t>
  </si>
  <si>
    <t xml:space="preserve">users.phone unique forever.</t>
  </si>
  <si>
    <t xml:space="preserve">Unique among active accounts + number_reclaims flow for recycled SIMs; contact_changes history.</t>
  </si>
  <si>
    <t xml:space="preserve">In India numbers are recycled; a new owner could be blocked or take over an old account.</t>
  </si>
  <si>
    <t xml:space="preserve">A) Our flow. B) Unique only.</t>
  </si>
  <si>
    <t xml:space="preserve">A — our flow</t>
  </si>
  <si>
    <t xml:space="preserve">DB-23</t>
  </si>
  <si>
    <t xml:space="preserve">Scope</t>
  </si>
  <si>
    <t xml:space="preserve">Tables missing in the dev database</t>
  </si>
  <si>
    <t xml:space="preserve">Not present.</t>
  </si>
  <si>
    <t xml:space="preserve">Badges and badge types; enhanced check (owners, bank, sanctions); farmers (farm profiles, visits, field agents, FPO, quality checks); invitations; delegations; nominees; data requests; security (trusted devices, security events, risk flags, recovery, disposable domains); partner/API clients; compliance and supply declarations; lab accreditations; partners; setup reminders; audit log and settings (M01).</t>
  </si>
  <si>
    <t xml:space="preserve">Needed for trust, farmers, field agents and law.</t>
  </si>
  <si>
    <t xml:space="preserve">A) Add all as per M02/M03 docs. B) Add later by phase.</t>
  </si>
  <si>
    <t xml:space="preserve">A — add (team decides build order)</t>
  </si>
  <si>
    <t xml:space="preserve">DB-24</t>
  </si>
  <si>
    <t xml:space="preserve">Standards</t>
  </si>
  <si>
    <t xml:space="preserve">IDs and standard columns</t>
  </si>
  <si>
    <t xml:space="preserve">uuid v7, created_at, updated_at; Restrict on delete.</t>
  </si>
  <si>
    <t xml:space="preserve">uuid v7 (same); plus created_by, updated_by, row_version (edit conflicts), anonymised_at (closure), active/version for reference data.</t>
  </si>
  <si>
    <t xml:space="preserve">Without row_version and created_by, staff edit conflicts and audit are weaker; without anonymised_at, erasure is hard.</t>
  </si>
  <si>
    <t xml:space="preserve">A) Add our standard columns.</t>
  </si>
  <si>
    <t xml:space="preserve">DB-25</t>
  </si>
  <si>
    <t xml:space="preserve">Sign-up before code is confirmed</t>
  </si>
  <si>
    <t xml:space="preserve">pending_signups table holds email/phone, password hash and role until the code works.</t>
  </si>
  <si>
    <t xml:space="preserve">Account created in pending state after the code; code state in Redis/Keycloak; invitations link role.</t>
  </si>
  <si>
    <t xml:space="preserve">Dev table stores a password hash for unconfirmed people; our flow keeps nothing long-term before the code.</t>
  </si>
  <si>
    <t xml:space="preserve">A) Our flow. B) pending_signups.</t>
  </si>
  <si>
    <t xml:space="preserve">DB-26</t>
  </si>
  <si>
    <t xml:space="preserve">Team members on a profile</t>
  </si>
  <si>
    <t xml:space="preserve">profile_members with owner/admin/member (teams now).</t>
  </si>
  <si>
    <t xml:space="preserve">profile_members table ready; V1 = one member per profile (teams later).</t>
  </si>
  <si>
    <t xml:space="preserve">Same table; only the rule differs.</t>
  </si>
  <si>
    <t xml:space="preserve">A) Keep table, one member for now. B) Teams now.</t>
  </si>
  <si>
    <t xml:space="preserve">A — keep table, decide timing</t>
  </si>
  <si>
    <t xml:space="preserve">DB-02 — Where passwords, codes and sign-in sessions live (question for the dev team)</t>
  </si>
  <si>
    <t xml:space="preserve">Product owner's sign-in flow (applies to any option): users sign in with Google, Apple, email or phone; a code (OTP) confirms the phone/email when the account is created; after that, a password. 2-step sign-in only for internal staff.</t>
  </si>
  <si>
    <t xml:space="preserve">Point</t>
  </si>
  <si>
    <t xml:space="preserve">A. Keycloak (our M02 docs)</t>
  </si>
  <si>
    <t xml:space="preserve">B. Own tables (dev schema)</t>
  </si>
  <si>
    <t xml:space="preserve">C. Managed service (e.g. AWS Cognito)</t>
  </si>
  <si>
    <t xml:space="preserve">What it is</t>
  </si>
  <si>
    <t xml:space="preserve">Free open-source sign-in server run on our AWS (Mumbai)</t>
  </si>
  <si>
    <t xml:space="preserve">Sign-in written in our Node/Prisma app (password hash, codes, resets, sessions, Google/Apple)</t>
  </si>
  <si>
    <t xml:space="preserve">Rented cloud sign-in service</t>
  </si>
  <si>
    <t xml:space="preserve">Ready features</t>
  </si>
  <si>
    <t xml:space="preserve">Google/Apple, codes, passwords, lockouts, staff 2-step and security keys, sessions, admin console</t>
  </si>
  <si>
    <t xml:space="preserve">Only what the team writes</t>
  </si>
  <si>
    <t xml:space="preserve">Google/Apple, codes, passwords, 2-step</t>
  </si>
  <si>
    <t xml:space="preserve">Security work</t>
  </si>
  <si>
    <t xml:space="preserve">Keep it updated and configured</t>
  </si>
  <si>
    <t xml:space="preserve">All on the team: rate limits, lockouts, token rotation, reset abuse, staff keys; must pass VAPT</t>
  </si>
  <si>
    <t xml:space="preserve">Provider handles most</t>
  </si>
  <si>
    <t xml:space="preserve">Effort now</t>
  </si>
  <si>
    <t xml:space="preserve">Medium (set up, theme screens, connect)</t>
  </si>
  <si>
    <t xml:space="preserve">Medium–high (code + security checklist)</t>
  </si>
  <si>
    <t xml:space="preserve">Low–medium</t>
  </si>
  <si>
    <t xml:space="preserve">Running effort</t>
  </si>
  <si>
    <t xml:space="preserve">One extra Java server: updates, backups, monitoring</t>
  </si>
  <si>
    <t xml:space="preserve">None extra</t>
  </si>
  <si>
    <t xml:space="preserve">None</t>
  </si>
  <si>
    <t xml:space="preserve">Cost</t>
  </si>
  <si>
    <t xml:space="preserve">Free software + small server</t>
  </si>
  <si>
    <t xml:space="preserve">No extra</t>
  </si>
  <si>
    <t xml:space="preserve">Per active user; grows with users</t>
  </si>
  <si>
    <t xml:space="preserve">Control / data location</t>
  </si>
  <si>
    <t xml:space="preserve">Full; India</t>
  </si>
  <si>
    <t xml:space="preserve">Medium; provider (Mumbai region possible)</t>
  </si>
  <si>
    <t xml:space="preserve">Lock-in</t>
  </si>
  <si>
    <t xml:space="preserve">Low (standard OIDC)</t>
  </si>
  <si>
    <t xml:space="preserve">High (passwords usually can't be exported)</t>
  </si>
  <si>
    <t xml:space="preserve">India SMS / voice codes for farmers</t>
  </si>
  <si>
    <t xml:space="preserve">Small add-on for our SMS/voice provider</t>
  </si>
  <si>
    <t xml:space="preserve">Easy (own code)</t>
  </si>
  <si>
    <t xml:space="preserve">Possible with extra setup</t>
  </si>
  <si>
    <t xml:space="preserve">Change to dev work</t>
  </si>
  <si>
    <t xml:space="preserve">Remove password/code/session tables; keep accounts + identities</t>
  </si>
  <si>
    <t xml:space="preserve">Keep current tables; add security checklist</t>
  </si>
  <si>
    <t xml:space="preserve">Rework sign-in</t>
  </si>
  <si>
    <t xml:space="preserve">Our view</t>
  </si>
  <si>
    <t xml:space="preserve">Best if the team can run one more server</t>
  </si>
  <si>
    <t xml:space="preserve">Fine if team is small; needs written security checklist and VAPT coverage</t>
  </si>
  <si>
    <t xml:space="preserve">Not recommended (cost, lock-in, India SMS rules)</t>
  </si>
  <si>
    <t xml:space="preserve">Questions for the dev team</t>
  </si>
  <si>
    <t xml:space="preserve">1. Can the team run and maintain one extra server (Keycloak, Java) on AWS — updates, backups, monitoring, theming the sign-in screens?</t>
  </si>
  <si>
    <t xml:space="preserve">2. If you prefer own tables: will you follow a written security checklist (rate limits, lockouts, refresh-token rotation, reset abuse, staff 2-step with security keys) and include it in the VAPT scope?</t>
  </si>
  <si>
    <t xml:space="preserve">3. How will staff sign in (separate realm/app, VPN-only admin app, security keys for Super Admin and Finance)?</t>
  </si>
  <si>
    <t xml:space="preserve">4. Which SMS / voice provider for codes in India (DLT templates) and for other countries?</t>
  </si>
  <si>
    <t xml:space="preserve">Dev team answer:</t>
  </si>
  <si>
    <t xml:space="preserve">Dev table</t>
  </si>
  <si>
    <t xml:space="preserve">Our table(s)</t>
  </si>
  <si>
    <t xml:space="preserve">Our module</t>
  </si>
  <si>
    <t xml:space="preserve">Match</t>
  </si>
  <si>
    <t xml:space="preserve">Decision IDs</t>
  </si>
  <si>
    <t xml:space="preserve">Product owner note</t>
  </si>
  <si>
    <t xml:space="preserve">roles</t>
  </si>
  <si>
    <t xml:space="preserve">— (fixed in code)</t>
  </si>
  <si>
    <t xml:space="preserve">M03</t>
  </si>
  <si>
    <t xml:space="preserve">entity_types</t>
  </si>
  <si>
    <t xml:space="preserve">— (account type in code)</t>
  </si>
  <si>
    <t xml:space="preserve">role_entity_types</t>
  </si>
  <si>
    <t xml:space="preserve">role_assignments (+ role_change_requests)</t>
  </si>
  <si>
    <t xml:space="preserve">DB-04, DB-05</t>
  </si>
  <si>
    <t xml:space="preserve">users</t>
  </si>
  <si>
    <t xml:space="preserve">accounts (M02) · staff_users (M02)</t>
  </si>
  <si>
    <t xml:space="preserve">M02</t>
  </si>
  <si>
    <t xml:space="preserve">DB-02, DB-06, DB-11, DB-22</t>
  </si>
  <si>
    <t xml:space="preserve">refresh_sessions</t>
  </si>
  <si>
    <t xml:space="preserve">Keycloak sessions</t>
  </si>
  <si>
    <t xml:space="preserve">M02 / Keycloak</t>
  </si>
  <si>
    <t xml:space="preserve">pending_signups</t>
  </si>
  <si>
    <t xml:space="preserve">Redis / Keycloak + accounts pending state</t>
  </si>
  <si>
    <t xml:space="preserve">password_resets</t>
  </si>
  <si>
    <t xml:space="preserve">Keycloak + recovery_requests</t>
  </si>
  <si>
    <t xml:space="preserve">user_identities</t>
  </si>
  <si>
    <t xml:space="preserve">external_identities</t>
  </si>
  <si>
    <t xml:space="preserve">—</t>
  </si>
  <si>
    <t xml:space="preserve">profiles</t>
  </si>
  <si>
    <t xml:space="preserve">profile_members</t>
  </si>
  <si>
    <t xml:space="preserve">addresses</t>
  </si>
  <si>
    <t xml:space="preserve">profile_addresses</t>
  </si>
  <si>
    <t xml:space="preserve">profile_availabilities</t>
  </si>
  <si>
    <t xml:space="preserve">contact_hours on profile_addresses</t>
  </si>
  <si>
    <t xml:space="preserve">business_details</t>
  </si>
  <si>
    <t xml:space="preserve">business_registrations + authorised_persons + country_id_rules</t>
  </si>
  <si>
    <t xml:space="preserve">DB-08, DB-09</t>
  </si>
  <si>
    <t xml:space="preserve">individual_identities</t>
  </si>
  <si>
    <t xml:space="preserve">profiles (legal name as on ID) + identity_checks</t>
  </si>
  <si>
    <t xml:space="preserve">DB-10, DB-14</t>
  </si>
  <si>
    <t xml:space="preserve">inoculation_capabilities</t>
  </si>
  <si>
    <t xml:space="preserve">service_capabilities</t>
  </si>
  <si>
    <t xml:space="preserve">sites</t>
  </si>
  <si>
    <t xml:space="preserve">profile_addresses (address type = site)</t>
  </si>
  <si>
    <t xml:space="preserve">site_media</t>
  </si>
  <si>
    <t xml:space="preserve">M01 platform.files (location_photo / location_video)</t>
  </si>
  <si>
    <t xml:space="preserve">M01 / M03</t>
  </si>
  <si>
    <t xml:space="preserve">DB-17, DB-19</t>
  </si>
  <si>
    <t xml:space="preserve">social_links</t>
  </si>
  <si>
    <t xml:space="preserve">profile_links</t>
  </si>
  <si>
    <t xml:space="preserve">documents</t>
  </si>
  <si>
    <t xml:space="preserve">verification_documents</t>
  </si>
  <si>
    <t xml:space="preserve">document_files</t>
  </si>
  <si>
    <t xml:space="preserve">M01 platform.files</t>
  </si>
  <si>
    <t xml:space="preserve">M01</t>
  </si>
  <si>
    <t xml:space="preserve">tag_groups</t>
  </si>
  <si>
    <t xml:space="preserve">M04 taxonomy / settings lists</t>
  </si>
  <si>
    <t xml:space="preserve">M04 / M01</t>
  </si>
  <si>
    <t xml:space="preserve">tags</t>
  </si>
  <si>
    <t xml:space="preserve">M04 taxonomy items / document_checklists types</t>
  </si>
  <si>
    <t xml:space="preserve">M04 / M03</t>
  </si>
  <si>
    <t xml:space="preserve">tag_roles</t>
  </si>
  <si>
    <t xml:space="preserve">M04 role-to-category table</t>
  </si>
  <si>
    <t xml:space="preserve">M04</t>
  </si>
  <si>
    <t xml:space="preserve">profile_tags</t>
  </si>
  <si>
    <t xml:space="preserve">profile_interests</t>
  </si>
  <si>
    <t xml:space="preserve">available_fields</t>
  </si>
  <si>
    <t xml:space="preserve">— (fields are real columns)</t>
  </si>
  <si>
    <t xml:space="preserve">profile_field_values</t>
  </si>
  <si>
    <t xml:space="preserve">onboarding_flows</t>
  </si>
  <si>
    <t xml:space="preserve">— (wizard fixed; setup card items editor E4)</t>
  </si>
  <si>
    <t xml:space="preserve">onboarding_flow_steps</t>
  </si>
  <si>
    <t xml:space="preserve">— (wizard steps fixed)</t>
  </si>
  <si>
    <t xml:space="preserve">onboarding_flow_step_fields</t>
  </si>
  <si>
    <t xml:space="preserve">onboarding_flow_step_documents</t>
  </si>
  <si>
    <t xml:space="preserve">document_checklists</t>
  </si>
  <si>
    <t xml:space="preserve">onboarding_applications</t>
  </si>
  <si>
    <t xml:space="preserve">verification_cases</t>
  </si>
  <si>
    <t xml:space="preserve">onboarding_application_steps</t>
  </si>
  <si>
    <t xml:space="preserve">profile_drafts</t>
  </si>
  <si>
    <t xml:space="preserve">onboarding_review_events</t>
  </si>
  <si>
    <t xml:space="preserve">verification case history / account_state_history + M01 audit log</t>
  </si>
  <si>
    <t xml:space="preserve">M03 / M01</t>
  </si>
  <si>
    <t xml:space="preserve">DB-13, DB-24</t>
  </si>
  <si>
    <t xml:space="preserve">Module</t>
  </si>
  <si>
    <t xml:space="preserve">Table(s)</t>
  </si>
  <si>
    <t xml:space="preserve">What it is for</t>
  </si>
  <si>
    <t xml:space="preserve">Decision ID</t>
  </si>
  <si>
    <t xml:space="preserve">staff_users</t>
  </si>
  <si>
    <t xml:space="preserve">Staff accounts, roles, keys, access review</t>
  </si>
  <si>
    <t xml:space="preserve">account_state_history</t>
  </si>
  <si>
    <t xml:space="preserve">Every account state change</t>
  </si>
  <si>
    <t xml:space="preserve">invitations</t>
  </si>
  <si>
    <t xml:space="preserve">Invitations for field agents, FPOs and our team</t>
  </si>
  <si>
    <t xml:space="preserve">legal_acceptances</t>
  </si>
  <si>
    <t xml:space="preserve">Terms / Privacy versions accepted</t>
  </si>
  <si>
    <t xml:space="preserve">consents</t>
  </si>
  <si>
    <t xml:space="preserve">Consents per purpose with history</t>
  </si>
  <si>
    <t xml:space="preserve">trusted_devices</t>
  </si>
  <si>
    <t xml:space="preserve">Remembered devices for sign-in</t>
  </si>
  <si>
    <t xml:space="preserve">security_events</t>
  </si>
  <si>
    <t xml:space="preserve">Sign-in and security log</t>
  </si>
  <si>
    <t xml:space="preserve">recovery_requests</t>
  </si>
  <si>
    <t xml:space="preserve">Account recovery cases</t>
  </si>
  <si>
    <t xml:space="preserve">contact_changes</t>
  </si>
  <si>
    <t xml:space="preserve">Phone/email change history</t>
  </si>
  <si>
    <t xml:space="preserve">risk_flags</t>
  </si>
  <si>
    <t xml:space="preserve">Fraud and ban-evasion signals</t>
  </si>
  <si>
    <t xml:space="preserve">disposable_email_domains</t>
  </si>
  <si>
    <t xml:space="preserve">Throw-away email list</t>
  </si>
  <si>
    <t xml:space="preserve">number_reclaims</t>
  </si>
  <si>
    <t xml:space="preserve">Recycled phone numbers</t>
  </si>
  <si>
    <t xml:space="preserve">delegations</t>
  </si>
  <si>
    <t xml:space="preserve">Farmer's permission for a field agent</t>
  </si>
  <si>
    <t xml:space="preserve">nominees</t>
  </si>
  <si>
    <t xml:space="preserve">Account nominee</t>
  </si>
  <si>
    <t xml:space="preserve">data_requests</t>
  </si>
  <si>
    <t xml:space="preserve">Privacy requests (access, erasure…)</t>
  </si>
  <si>
    <t xml:space="preserve">api_clients · api_grants</t>
  </si>
  <si>
    <t xml:space="preserve">Partner and AI-agent access</t>
  </si>
  <si>
    <t xml:space="preserve">role_change_requests</t>
  </si>
  <si>
    <t xml:space="preserve">Role change requests</t>
  </si>
  <si>
    <t xml:space="preserve">name_history</t>
  </si>
  <si>
    <t xml:space="preserve">Store name history</t>
  </si>
  <si>
    <t xml:space="preserve">profile_translations</t>
  </si>
  <si>
    <t xml:space="preserve">Profile text translations</t>
  </si>
  <si>
    <t xml:space="preserve">country_id_rules</t>
  </si>
  <si>
    <t xml:space="preserve">Registration types per country</t>
  </si>
  <si>
    <t xml:space="preserve">compliance_declarations</t>
  </si>
  <si>
    <t xml:space="preserve">Signed declarations</t>
  </si>
  <si>
    <t xml:space="preserve">profile_contacts</t>
  </si>
  <si>
    <t xml:space="preserve">Business contacts (private)</t>
  </si>
  <si>
    <t xml:space="preserve">verification_consents</t>
  </si>
  <si>
    <t xml:space="preserve">Consent for each check</t>
  </si>
  <si>
    <t xml:space="preserve">identity_checks</t>
  </si>
  <si>
    <t xml:space="preserve">DigiLocker / Aadhaar / selfie results</t>
  </si>
  <si>
    <t xml:space="preserve">badges · badge_types</t>
  </si>
  <si>
    <t xml:space="preserve">Trust badges</t>
  </si>
  <si>
    <t xml:space="preserve">enhanced_checks · beneficial_owners · sanctions_screenings</t>
  </si>
  <si>
    <t xml:space="preserve">Enhanced check</t>
  </si>
  <si>
    <t xml:space="preserve">farm_profiles · farm_visits</t>
  </si>
  <si>
    <t xml:space="preserve">Farmer 'Your trees' and farm visits</t>
  </si>
  <si>
    <t xml:space="preserve">field_agents · agent_quality_checks · fpo_memberships</t>
  </si>
  <si>
    <t xml:space="preserve">Field agents and FPOs</t>
  </si>
  <si>
    <t xml:space="preserve">partners</t>
  </si>
  <si>
    <t xml:space="preserve">Partner programme</t>
  </si>
  <si>
    <t xml:space="preserve">supply_declarations</t>
  </si>
  <si>
    <t xml:space="preserve">Yearly supply (wood, chips, oil)</t>
  </si>
  <si>
    <t xml:space="preserve">lab_accreditations</t>
  </si>
  <si>
    <t xml:space="preserve">Lab accreditation</t>
  </si>
  <si>
    <t xml:space="preserve">setup_reminders</t>
  </si>
  <si>
    <t xml:space="preserve">Setup reminders</t>
  </si>
  <si>
    <t xml:space="preserve">files · audit log · settings · legal holds …</t>
  </si>
  <si>
    <t xml:space="preserve">Shared platform tables</t>
  </si>
  <si>
    <t xml:space="preserve">DB-19, DB-24</t>
  </si>
  <si>
    <t xml:space="preserve">Dev columns</t>
  </si>
  <si>
    <t xml:space="preserve">Our design</t>
  </si>
  <si>
    <t xml:space="preserve">Action</t>
  </si>
  <si>
    <t xml:space="preserve">email / phone unique</t>
  </si>
  <si>
    <t xml:space="preserve">accounts: phone unique among active accounts; number reclaim</t>
  </si>
  <si>
    <t xml:space="preserve">Change</t>
  </si>
  <si>
    <t xml:space="preserve">password_hash, password_changed_at</t>
  </si>
  <si>
    <t xml:space="preserve">In Keycloak</t>
  </si>
  <si>
    <t xml:space="preserve">Remove</t>
  </si>
  <si>
    <t xml:space="preserve">is_over_18</t>
  </si>
  <si>
    <t xml:space="preserve">accounts: 18+ declaration</t>
  </si>
  <si>
    <t xml:space="preserve">consent_marketing, consent_data_sharing</t>
  </si>
  <si>
    <t xml:space="preserve">consents + legal_acceptances tables</t>
  </si>
  <si>
    <t xml:space="preserve">status: active / suspended / deactivated</t>
  </si>
  <si>
    <t xml:space="preserve">accounts.state: active, deactivated, dormant, suspended, banned, closed</t>
  </si>
  <si>
    <t xml:space="preserve">— (missing)</t>
  </si>
  <si>
    <t xml:space="preserve">display_name, account_country, language, language for codes and calls, last_active_at</t>
  </si>
  <si>
    <t xml:space="preserve">Add</t>
  </si>
  <si>
    <t xml:space="preserve">display_name, logo_url, about, short_bio (300)</t>
  </si>
  <si>
    <t xml:space="preserve">store name, legal name next to it, short bio 300, description 1,000, logo/cover file IDs</t>
  </si>
  <si>
    <t xml:space="preserve">verification_status (4 values)</t>
  </si>
  <si>
    <t xml:space="preserve">8 verification states</t>
  </si>
  <si>
    <t xml:space="preserve">registration_country, billing_country, away_until (R3), setup_completed_at, public flags</t>
  </si>
  <si>
    <t xml:space="preserve">gstin, pan_number, trade_license_no, export_license_iec, sector_license</t>
  </si>
  <si>
    <t xml:space="preserve">business_registrations rows (type, masked number, encrypted, issuing authority, registry status)</t>
  </si>
  <si>
    <t xml:space="preserve">authorized_rep_name, authorized_rep_mobile</t>
  </si>
  <si>
    <t xml:space="preserve">authorised_persons (name as on ID, designation, relationship, ID check, proof of authority)</t>
  </si>
  <si>
    <t xml:space="preserve">is_exporter, deals_in_regulated_goods</t>
  </si>
  <si>
    <t xml:space="preserve">offer extras (export interest) + compliance_declarations</t>
  </si>
  <si>
    <t xml:space="preserve">date_of_birth</t>
  </si>
  <si>
    <t xml:space="preserve">Not collected</t>
  </si>
  <si>
    <t xml:space="preserve">latitude, longitude</t>
  </si>
  <si>
    <t xml:space="preserve">map pin private (reviewer only) — same idea</t>
  </si>
  <si>
    <t xml:space="preserve">landmark, village (private), address_type, site label, public flags</t>
  </si>
  <si>
    <t xml:space="preserve">timezone, working_days, contact_from/to, reachable_outside_hours</t>
  </si>
  <si>
    <t xml:space="preserve">contact_hours per location</t>
  </si>
  <si>
    <t xml:space="preserve">platform includes WhatsApp Business</t>
  </si>
  <si>
    <t xml:space="preserve">No WhatsApp / phone; ownership check columns; safety scan</t>
  </si>
  <si>
    <t xml:space="preserve">document_number (plain)</t>
  </si>
  <si>
    <t xml:space="preserve">masked + encrypted + hashed</t>
  </si>
  <si>
    <t xml:space="preserve">status, reviewed_by, rejection_reason (free text)</t>
  </si>
  <si>
    <t xml:space="preserve">document status + reason code from rejection reasons list (E3) + message</t>
  </si>
  <si>
    <t xml:space="preserve">side (front/back/selfie/page)</t>
  </si>
  <si>
    <t xml:space="preserve">— (not in our design)</t>
  </si>
  <si>
    <t xml:space="preserve">Adopt from dev</t>
  </si>
  <si>
    <t xml:space="preserve">any_of_group, max_files</t>
  </si>
  <si>
    <t xml:space="preserve">document_checklists conditions (no named any-of group)</t>
  </si>
  <si>
    <t xml:space="preserve">all tables</t>
  </si>
  <si>
    <t xml:space="preserve">created_at, updated_at</t>
  </si>
  <si>
    <t xml:space="preserve">+ created_by, updated_by, row_version, anonymised_at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</si>
</sst>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5B3A1E"/>
        <bgColor rgb="FF333300"/>
      </patternFill>
    </fill>
    <fill>
      <patternFill patternType="solid">
        <fgColor rgb="FFF8CBAD"/>
        <bgColor rgb="FFFFE699"/>
      </patternFill>
    </fill>
    <fill>
      <patternFill patternType="solid">
        <fgColor rgb="FFFFF6D5"/>
        <bgColor rgb="FFFFFFFF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  <fill>
      <patternFill patternType="solid">
        <fgColor rgb="FFD9D9D9"/>
        <bgColor rgb="FFC6E0B4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5B3A1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6D5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6D5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B3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"/>
    <col collapsed="false" customWidth="true" hidden="false" outlineLevel="0" max="4" min="4" style="1" width="30"/>
    <col collapsed="false" customWidth="true" hidden="false" outlineLevel="0" max="5" min="5" style="1" width="10"/>
  </cols>
  <sheetData>
    <row r="1" customFormat="false" ht="17.25" hidden="false" customHeight="true" outlineLevel="0" collapsed="false">
      <c r="A1" s="2" t="s">
        <v>0</v>
      </c>
      <c r="B1" s="3"/>
      <c r="C1" s="3"/>
      <c r="D1" s="3"/>
      <c r="E1" s="3"/>
      <c r="F1" s="3"/>
    </row>
    <row r="2" customFormat="false" ht="45" hidden="false" customHeight="true" outlineLevel="0" collapsed="false">
      <c r="A2" s="4" t="s">
        <v>1</v>
      </c>
      <c r="B2" s="4"/>
      <c r="C2" s="4"/>
      <c r="D2" s="4"/>
      <c r="E2" s="4"/>
      <c r="F2" s="4"/>
    </row>
    <row r="3" customFormat="false" ht="15" hidden="false" customHeight="true" outlineLevel="0" collapsed="false">
      <c r="A3" s="3"/>
      <c r="B3" s="3"/>
      <c r="C3" s="3"/>
      <c r="D3" s="3"/>
      <c r="E3" s="3"/>
      <c r="F3" s="3"/>
    </row>
    <row r="4" customFormat="false" ht="15" hidden="false" customHeight="true" outlineLevel="0" collapsed="false">
      <c r="A4" s="5" t="s">
        <v>2</v>
      </c>
      <c r="B4" s="3"/>
      <c r="C4" s="3"/>
      <c r="D4" s="3"/>
      <c r="E4" s="3"/>
      <c r="F4" s="3"/>
    </row>
    <row r="5" customFormat="false" ht="30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15" hidden="false" customHeight="true" outlineLevel="0" collapsed="false">
      <c r="A6" s="3"/>
      <c r="B6" s="3"/>
      <c r="C6" s="3"/>
      <c r="D6" s="3"/>
      <c r="E6" s="3"/>
      <c r="F6" s="3"/>
    </row>
    <row r="7" customFormat="false" ht="15" hidden="false" customHeight="true" outlineLevel="0" collapsed="false">
      <c r="A7" s="5" t="s">
        <v>4</v>
      </c>
      <c r="B7" s="3"/>
      <c r="C7" s="3"/>
      <c r="D7" s="5" t="s">
        <v>5</v>
      </c>
      <c r="E7" s="3"/>
      <c r="F7" s="3"/>
    </row>
    <row r="8" customFormat="false" ht="15" hidden="false" customHeight="true" outlineLevel="0" collapsed="false">
      <c r="A8" s="3" t="s">
        <v>6</v>
      </c>
      <c r="B8" s="3" t="n">
        <f aca="false">COUNTIF(Decisions!K:K,"Open")</f>
        <v>5</v>
      </c>
      <c r="C8" s="3"/>
      <c r="D8" s="3" t="s">
        <v>7</v>
      </c>
      <c r="E8" s="3" t="n">
        <f aca="false">COUNTIF(Decisions!C:C,"High")</f>
        <v>15</v>
      </c>
      <c r="F8" s="3"/>
    </row>
    <row r="9" customFormat="false" ht="15" hidden="false" customHeight="true" outlineLevel="0" collapsed="false">
      <c r="A9" s="3" t="s">
        <v>8</v>
      </c>
      <c r="B9" s="3" t="n">
        <f aca="false">COUNTIF(Decisions!K:K,"Decided")</f>
        <v>20</v>
      </c>
      <c r="C9" s="3"/>
      <c r="D9" s="3" t="s">
        <v>9</v>
      </c>
      <c r="E9" s="3" t="n">
        <f aca="false">COUNTIF(Decisions!C:C,"Medium")</f>
        <v>8</v>
      </c>
      <c r="F9" s="3"/>
    </row>
    <row r="10" customFormat="false" ht="15" hidden="false" customHeight="true" outlineLevel="0" collapsed="false">
      <c r="A10" s="3" t="s">
        <v>10</v>
      </c>
      <c r="B10" s="3" t="n">
        <f aca="false">COUNTIF(Decisions!K:K,"Discuss")</f>
        <v>1</v>
      </c>
      <c r="C10" s="3"/>
      <c r="D10" s="3" t="s">
        <v>11</v>
      </c>
      <c r="E10" s="3" t="n">
        <f aca="false">COUNTIF(Decisions!C:C,"Low")</f>
        <v>3</v>
      </c>
      <c r="F10" s="3"/>
    </row>
    <row r="11" customFormat="false" ht="15" hidden="false" customHeight="true" outlineLevel="0" collapsed="false">
      <c r="A11" s="3" t="s">
        <v>12</v>
      </c>
      <c r="B11" s="3" t="n">
        <f aca="false">COUNTIF(Decisions!K:K,"Later")</f>
        <v>0</v>
      </c>
      <c r="C11" s="3"/>
      <c r="D11" s="3"/>
      <c r="E11" s="3"/>
      <c r="F11" s="3"/>
    </row>
    <row r="12" customFormat="false" ht="15" hidden="false" customHeight="true" outlineLevel="0" collapsed="false">
      <c r="A12" s="5" t="s">
        <v>13</v>
      </c>
      <c r="B12" s="3" t="n">
        <f aca="false">SUM(B8:B11)</f>
        <v>26</v>
      </c>
      <c r="C12" s="3"/>
      <c r="D12" s="3"/>
      <c r="E12" s="3"/>
      <c r="F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</row>
    <row r="14" customFormat="false" ht="15" hidden="false" customHeight="true" outlineLevel="0" collapsed="false">
      <c r="A14" s="5" t="s">
        <v>14</v>
      </c>
      <c r="B14" s="3"/>
      <c r="C14" s="3"/>
      <c r="D14" s="5" t="s">
        <v>15</v>
      </c>
      <c r="E14" s="3"/>
      <c r="F14" s="3"/>
    </row>
    <row r="15" customFormat="false" ht="15" hidden="false" customHeight="true" outlineLevel="0" collapsed="false">
      <c r="A15" s="3" t="s">
        <v>16</v>
      </c>
      <c r="B15" s="3" t="n">
        <f aca="false">COUNTIF('Table map'!D:D,"Same")</f>
        <v>2</v>
      </c>
      <c r="C15" s="3"/>
      <c r="D15" s="3"/>
      <c r="E15" s="3" t="n">
        <f aca="false">COUNTA('Only in our docs'!B:B)-1</f>
        <v>33</v>
      </c>
      <c r="F15" s="3"/>
    </row>
    <row r="16" customFormat="false" ht="15" hidden="false" customHeight="true" outlineLevel="0" collapsed="false">
      <c r="A16" s="3" t="s">
        <v>17</v>
      </c>
      <c r="B16" s="3" t="n">
        <f aca="false">COUNTIF('Table map'!D:D,"Partial")</f>
        <v>16</v>
      </c>
      <c r="C16" s="3"/>
      <c r="D16" s="3"/>
      <c r="E16" s="3"/>
      <c r="F16" s="3"/>
    </row>
    <row r="17" customFormat="false" ht="15" hidden="false" customHeight="true" outlineLevel="0" collapsed="false">
      <c r="A17" s="3" t="s">
        <v>18</v>
      </c>
      <c r="B17" s="3" t="n">
        <f aca="false">COUNTIF('Table map'!D:D,"Different")</f>
        <v>10</v>
      </c>
      <c r="C17" s="3"/>
      <c r="D17" s="3"/>
      <c r="E17" s="3"/>
      <c r="F17" s="3"/>
    </row>
    <row r="18" customFormat="false" ht="15" hidden="false" customHeight="true" outlineLevel="0" collapsed="false">
      <c r="A18" s="3" t="s">
        <v>19</v>
      </c>
      <c r="B18" s="3" t="n">
        <f aca="false">COUNTIF('Table map'!D:D,"Only in dev")</f>
        <v>5</v>
      </c>
      <c r="C18" s="3"/>
      <c r="D18" s="3"/>
      <c r="E18" s="3"/>
      <c r="F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</row>
    <row r="20" customFormat="false" ht="15" hidden="false" customHeight="true" outlineLevel="0" collapsed="false">
      <c r="A20" s="5" t="s">
        <v>20</v>
      </c>
      <c r="B20" s="3"/>
      <c r="C20" s="3"/>
      <c r="D20" s="3"/>
      <c r="E20" s="3"/>
      <c r="F20" s="3"/>
    </row>
    <row r="21" customFormat="false" ht="15" hidden="false" customHeight="true" outlineLevel="0" collapsed="false">
      <c r="A21" s="6" t="s">
        <v>21</v>
      </c>
      <c r="B21" s="6"/>
      <c r="C21" s="6"/>
      <c r="D21" s="6"/>
      <c r="E21" s="6"/>
      <c r="F21" s="6"/>
    </row>
    <row r="22" customFormat="false" ht="15" hidden="false" customHeight="true" outlineLevel="0" collapsed="false">
      <c r="A22" s="6" t="s">
        <v>22</v>
      </c>
      <c r="B22" s="6"/>
      <c r="C22" s="6"/>
      <c r="D22" s="6"/>
      <c r="E22" s="6"/>
      <c r="F22" s="6"/>
    </row>
    <row r="23" customFormat="false" ht="15" hidden="false" customHeight="true" outlineLevel="0" collapsed="false">
      <c r="A23" s="6" t="s">
        <v>23</v>
      </c>
      <c r="B23" s="6"/>
      <c r="C23" s="6"/>
      <c r="D23" s="6"/>
      <c r="E23" s="6"/>
      <c r="F23" s="6"/>
    </row>
    <row r="24" customFormat="false" ht="15" hidden="false" customHeight="true" outlineLevel="0" collapsed="false">
      <c r="A24" s="6" t="s">
        <v>24</v>
      </c>
      <c r="B24" s="6"/>
      <c r="C24" s="6"/>
      <c r="D24" s="6"/>
      <c r="E24" s="6"/>
      <c r="F24" s="6"/>
    </row>
  </sheetData>
  <mergeCells count="6">
    <mergeCell ref="A2:F2"/>
    <mergeCell ref="A5:F5"/>
    <mergeCell ref="A21:F21"/>
    <mergeCell ref="A22:F22"/>
    <mergeCell ref="A23:F23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26"/>
    <col collapsed="false" customWidth="true" hidden="false" outlineLevel="0" max="5" min="5" style="1" width="48"/>
    <col collapsed="false" customWidth="true" hidden="false" outlineLevel="0" max="6" min="6" style="1" width="52"/>
    <col collapsed="false" customWidth="true" hidden="false" outlineLevel="0" max="8" min="7" style="1" width="40"/>
    <col collapsed="false" customWidth="true" hidden="false" outlineLevel="0" max="9" min="9" style="1" width="22"/>
    <col collapsed="false" customWidth="true" hidden="false" outlineLevel="0" max="10" min="10" style="1" width="30"/>
    <col collapsed="false" customWidth="true" hidden="false" outlineLevel="0" max="11" min="11" style="1" width="11"/>
    <col collapsed="false" customWidth="true" hidden="false" outlineLevel="0" max="12" min="12" style="1" width="24"/>
  </cols>
  <sheetData>
    <row r="1" customFormat="false" ht="15" hidden="false" customHeight="true" outlineLevel="0" collapsed="false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</row>
    <row r="2" customFormat="false" ht="57" hidden="false" customHeight="true" outlineLevel="0" collapsed="false">
      <c r="A2" s="8" t="s">
        <v>37</v>
      </c>
      <c r="B2" s="8" t="s">
        <v>38</v>
      </c>
      <c r="C2" s="9" t="s">
        <v>7</v>
      </c>
      <c r="D2" s="8" t="s">
        <v>39</v>
      </c>
      <c r="E2" s="8" t="s">
        <v>40</v>
      </c>
      <c r="F2" s="8" t="s">
        <v>41</v>
      </c>
      <c r="G2" s="8" t="s">
        <v>42</v>
      </c>
      <c r="H2" s="8" t="s">
        <v>43</v>
      </c>
      <c r="I2" s="8" t="s">
        <v>44</v>
      </c>
      <c r="J2" s="10" t="s">
        <v>45</v>
      </c>
      <c r="K2" s="10" t="s">
        <v>8</v>
      </c>
      <c r="L2" s="10"/>
    </row>
    <row r="3" customFormat="false" ht="45.75" hidden="false" customHeight="true" outlineLevel="0" collapsed="false">
      <c r="A3" s="8" t="s">
        <v>46</v>
      </c>
      <c r="B3" s="8" t="s">
        <v>38</v>
      </c>
      <c r="C3" s="9" t="s">
        <v>7</v>
      </c>
      <c r="D3" s="8" t="s">
        <v>47</v>
      </c>
      <c r="E3" s="8" t="s">
        <v>48</v>
      </c>
      <c r="F3" s="8" t="s">
        <v>49</v>
      </c>
      <c r="G3" s="8" t="s">
        <v>50</v>
      </c>
      <c r="H3" s="8" t="s">
        <v>51</v>
      </c>
      <c r="I3" s="8" t="s">
        <v>52</v>
      </c>
      <c r="J3" s="10"/>
      <c r="K3" s="10" t="s">
        <v>10</v>
      </c>
      <c r="L3" s="10" t="s">
        <v>53</v>
      </c>
    </row>
    <row r="4" customFormat="false" ht="34.5" hidden="false" customHeight="true" outlineLevel="0" collapsed="false">
      <c r="A4" s="8" t="s">
        <v>54</v>
      </c>
      <c r="B4" s="8" t="s">
        <v>38</v>
      </c>
      <c r="C4" s="11" t="s">
        <v>9</v>
      </c>
      <c r="D4" s="8" t="s">
        <v>55</v>
      </c>
      <c r="E4" s="8" t="s">
        <v>56</v>
      </c>
      <c r="F4" s="8" t="s">
        <v>57</v>
      </c>
      <c r="G4" s="8" t="s">
        <v>58</v>
      </c>
      <c r="H4" s="8" t="s">
        <v>59</v>
      </c>
      <c r="I4" s="8" t="s">
        <v>60</v>
      </c>
      <c r="J4" s="10" t="s">
        <v>61</v>
      </c>
      <c r="K4" s="10" t="s">
        <v>8</v>
      </c>
      <c r="L4" s="10"/>
    </row>
    <row r="5" customFormat="false" ht="45.75" hidden="false" customHeight="true" outlineLevel="0" collapsed="false">
      <c r="A5" s="8" t="s">
        <v>62</v>
      </c>
      <c r="B5" s="8" t="s">
        <v>63</v>
      </c>
      <c r="C5" s="9" t="s">
        <v>7</v>
      </c>
      <c r="D5" s="8" t="s">
        <v>64</v>
      </c>
      <c r="E5" s="8" t="s">
        <v>65</v>
      </c>
      <c r="F5" s="8" t="s">
        <v>66</v>
      </c>
      <c r="G5" s="8" t="s">
        <v>67</v>
      </c>
      <c r="H5" s="8" t="s">
        <v>68</v>
      </c>
      <c r="I5" s="8" t="s">
        <v>69</v>
      </c>
      <c r="J5" s="10" t="s">
        <v>70</v>
      </c>
      <c r="K5" s="10" t="s">
        <v>8</v>
      </c>
      <c r="L5" s="10" t="s">
        <v>71</v>
      </c>
    </row>
    <row r="6" customFormat="false" ht="45.75" hidden="false" customHeight="true" outlineLevel="0" collapsed="false">
      <c r="A6" s="8" t="s">
        <v>72</v>
      </c>
      <c r="B6" s="8" t="s">
        <v>63</v>
      </c>
      <c r="C6" s="9" t="s">
        <v>7</v>
      </c>
      <c r="D6" s="8" t="s">
        <v>73</v>
      </c>
      <c r="E6" s="8" t="s">
        <v>74</v>
      </c>
      <c r="F6" s="8" t="s">
        <v>75</v>
      </c>
      <c r="G6" s="8" t="s">
        <v>76</v>
      </c>
      <c r="H6" s="8" t="s">
        <v>77</v>
      </c>
      <c r="I6" s="8" t="s">
        <v>78</v>
      </c>
      <c r="J6" s="10" t="s">
        <v>79</v>
      </c>
      <c r="K6" s="10" t="s">
        <v>8</v>
      </c>
      <c r="L6" s="10"/>
    </row>
    <row r="7" customFormat="false" ht="34.5" hidden="false" customHeight="true" outlineLevel="0" collapsed="false">
      <c r="A7" s="8" t="s">
        <v>80</v>
      </c>
      <c r="B7" s="8" t="s">
        <v>63</v>
      </c>
      <c r="C7" s="9" t="s">
        <v>7</v>
      </c>
      <c r="D7" s="8" t="s">
        <v>81</v>
      </c>
      <c r="E7" s="8" t="s">
        <v>82</v>
      </c>
      <c r="F7" s="8" t="s">
        <v>83</v>
      </c>
      <c r="G7" s="8" t="s">
        <v>84</v>
      </c>
      <c r="H7" s="8" t="s">
        <v>85</v>
      </c>
      <c r="I7" s="8" t="s">
        <v>86</v>
      </c>
      <c r="J7" s="10" t="s">
        <v>87</v>
      </c>
      <c r="K7" s="10" t="s">
        <v>8</v>
      </c>
      <c r="L7" s="10"/>
    </row>
    <row r="8" customFormat="false" ht="57" hidden="false" customHeight="true" outlineLevel="0" collapsed="false">
      <c r="A8" s="8" t="s">
        <v>88</v>
      </c>
      <c r="B8" s="8" t="s">
        <v>89</v>
      </c>
      <c r="C8" s="11" t="s">
        <v>9</v>
      </c>
      <c r="D8" s="8" t="s">
        <v>90</v>
      </c>
      <c r="E8" s="8" t="s">
        <v>91</v>
      </c>
      <c r="F8" s="8" t="s">
        <v>92</v>
      </c>
      <c r="G8" s="8" t="s">
        <v>93</v>
      </c>
      <c r="H8" s="8" t="s">
        <v>94</v>
      </c>
      <c r="I8" s="8" t="s">
        <v>95</v>
      </c>
      <c r="J8" s="10" t="s">
        <v>96</v>
      </c>
      <c r="K8" s="10" t="s">
        <v>8</v>
      </c>
      <c r="L8" s="10"/>
    </row>
    <row r="9" customFormat="false" ht="45.75" hidden="false" customHeight="true" outlineLevel="0" collapsed="false">
      <c r="A9" s="8" t="s">
        <v>97</v>
      </c>
      <c r="B9" s="8" t="s">
        <v>98</v>
      </c>
      <c r="C9" s="9" t="s">
        <v>7</v>
      </c>
      <c r="D9" s="8" t="s">
        <v>99</v>
      </c>
      <c r="E9" s="8" t="s">
        <v>100</v>
      </c>
      <c r="F9" s="8" t="s">
        <v>101</v>
      </c>
      <c r="G9" s="8" t="s">
        <v>102</v>
      </c>
      <c r="H9" s="8" t="s">
        <v>103</v>
      </c>
      <c r="I9" s="8" t="s">
        <v>104</v>
      </c>
      <c r="J9" s="10" t="s">
        <v>105</v>
      </c>
      <c r="K9" s="10" t="s">
        <v>8</v>
      </c>
      <c r="L9" s="10"/>
    </row>
    <row r="10" customFormat="false" ht="23.25" hidden="false" customHeight="true" outlineLevel="0" collapsed="false">
      <c r="A10" s="8" t="s">
        <v>106</v>
      </c>
      <c r="B10" s="8" t="s">
        <v>107</v>
      </c>
      <c r="C10" s="9" t="s">
        <v>7</v>
      </c>
      <c r="D10" s="8" t="s">
        <v>108</v>
      </c>
      <c r="E10" s="8" t="s">
        <v>109</v>
      </c>
      <c r="F10" s="8" t="s">
        <v>110</v>
      </c>
      <c r="G10" s="8" t="s">
        <v>111</v>
      </c>
      <c r="H10" s="8" t="s">
        <v>112</v>
      </c>
      <c r="I10" s="8" t="s">
        <v>78</v>
      </c>
      <c r="J10" s="10" t="s">
        <v>113</v>
      </c>
      <c r="K10" s="10" t="s">
        <v>8</v>
      </c>
      <c r="L10" s="10"/>
    </row>
    <row r="11" customFormat="false" ht="23.25" hidden="false" customHeight="true" outlineLevel="0" collapsed="false">
      <c r="A11" s="8" t="s">
        <v>114</v>
      </c>
      <c r="B11" s="8" t="s">
        <v>107</v>
      </c>
      <c r="C11" s="9" t="s">
        <v>7</v>
      </c>
      <c r="D11" s="8" t="s">
        <v>115</v>
      </c>
      <c r="E11" s="8" t="s">
        <v>116</v>
      </c>
      <c r="F11" s="8" t="s">
        <v>117</v>
      </c>
      <c r="G11" s="8" t="s">
        <v>118</v>
      </c>
      <c r="H11" s="8" t="s">
        <v>119</v>
      </c>
      <c r="I11" s="8" t="s">
        <v>120</v>
      </c>
      <c r="J11" s="10" t="s">
        <v>121</v>
      </c>
      <c r="K11" s="10" t="s">
        <v>8</v>
      </c>
      <c r="L11" s="10"/>
    </row>
    <row r="12" customFormat="false" ht="34.5" hidden="false" customHeight="true" outlineLevel="0" collapsed="false">
      <c r="A12" s="8" t="s">
        <v>122</v>
      </c>
      <c r="B12" s="8" t="s">
        <v>107</v>
      </c>
      <c r="C12" s="9" t="s">
        <v>7</v>
      </c>
      <c r="D12" s="8" t="s">
        <v>123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10" t="s">
        <v>129</v>
      </c>
      <c r="K12" s="10" t="s">
        <v>8</v>
      </c>
      <c r="L12" s="10"/>
    </row>
    <row r="13" customFormat="false" ht="34.5" hidden="false" customHeight="true" outlineLevel="0" collapsed="false">
      <c r="A13" s="8" t="s">
        <v>130</v>
      </c>
      <c r="B13" s="8" t="s">
        <v>131</v>
      </c>
      <c r="C13" s="9" t="s">
        <v>7</v>
      </c>
      <c r="D13" s="8" t="s">
        <v>132</v>
      </c>
      <c r="E13" s="8" t="s">
        <v>133</v>
      </c>
      <c r="F13" s="8" t="s">
        <v>134</v>
      </c>
      <c r="G13" s="8" t="s">
        <v>135</v>
      </c>
      <c r="H13" s="8" t="s">
        <v>136</v>
      </c>
      <c r="I13" s="8" t="s">
        <v>137</v>
      </c>
      <c r="J13" s="10" t="s">
        <v>138</v>
      </c>
      <c r="K13" s="10" t="s">
        <v>8</v>
      </c>
      <c r="L13" s="10"/>
    </row>
    <row r="14" customFormat="false" ht="45.75" hidden="false" customHeight="true" outlineLevel="0" collapsed="false">
      <c r="A14" s="8" t="s">
        <v>139</v>
      </c>
      <c r="B14" s="8" t="s">
        <v>131</v>
      </c>
      <c r="C14" s="9" t="s">
        <v>7</v>
      </c>
      <c r="D14" s="8" t="s">
        <v>140</v>
      </c>
      <c r="E14" s="8" t="s">
        <v>141</v>
      </c>
      <c r="F14" s="8" t="s">
        <v>142</v>
      </c>
      <c r="G14" s="8" t="s">
        <v>143</v>
      </c>
      <c r="H14" s="8" t="s">
        <v>144</v>
      </c>
      <c r="I14" s="8" t="s">
        <v>145</v>
      </c>
      <c r="J14" s="10" t="s">
        <v>146</v>
      </c>
      <c r="K14" s="10" t="s">
        <v>8</v>
      </c>
      <c r="L14" s="10"/>
    </row>
    <row r="15" customFormat="false" ht="23.25" hidden="false" customHeight="true" outlineLevel="0" collapsed="false">
      <c r="A15" s="8" t="s">
        <v>147</v>
      </c>
      <c r="B15" s="8" t="s">
        <v>131</v>
      </c>
      <c r="C15" s="9" t="s">
        <v>7</v>
      </c>
      <c r="D15" s="8" t="s">
        <v>148</v>
      </c>
      <c r="E15" s="8" t="s">
        <v>149</v>
      </c>
      <c r="F15" s="8" t="s">
        <v>150</v>
      </c>
      <c r="G15" s="8" t="s">
        <v>151</v>
      </c>
      <c r="H15" s="8" t="s">
        <v>152</v>
      </c>
      <c r="I15" s="8" t="s">
        <v>153</v>
      </c>
      <c r="J15" s="10" t="s">
        <v>154</v>
      </c>
      <c r="K15" s="10" t="s">
        <v>8</v>
      </c>
      <c r="L15" s="10"/>
    </row>
    <row r="16" customFormat="false" ht="23.25" hidden="false" customHeight="true" outlineLevel="0" collapsed="false">
      <c r="A16" s="8" t="s">
        <v>155</v>
      </c>
      <c r="B16" s="8" t="s">
        <v>156</v>
      </c>
      <c r="C16" s="11" t="s">
        <v>9</v>
      </c>
      <c r="D16" s="8" t="s">
        <v>157</v>
      </c>
      <c r="E16" s="8" t="s">
        <v>158</v>
      </c>
      <c r="F16" s="8" t="s">
        <v>159</v>
      </c>
      <c r="G16" s="8" t="s">
        <v>160</v>
      </c>
      <c r="H16" s="8" t="s">
        <v>161</v>
      </c>
      <c r="I16" s="8" t="s">
        <v>128</v>
      </c>
      <c r="J16" s="10" t="s">
        <v>162</v>
      </c>
      <c r="K16" s="10" t="s">
        <v>8</v>
      </c>
      <c r="L16" s="10"/>
    </row>
    <row r="17" customFormat="false" ht="34.5" hidden="false" customHeight="true" outlineLevel="0" collapsed="false">
      <c r="A17" s="8" t="s">
        <v>163</v>
      </c>
      <c r="B17" s="8" t="s">
        <v>156</v>
      </c>
      <c r="C17" s="11" t="s">
        <v>9</v>
      </c>
      <c r="D17" s="8" t="s">
        <v>164</v>
      </c>
      <c r="E17" s="8" t="s">
        <v>165</v>
      </c>
      <c r="F17" s="8" t="s">
        <v>166</v>
      </c>
      <c r="G17" s="8" t="s">
        <v>167</v>
      </c>
      <c r="H17" s="8" t="s">
        <v>168</v>
      </c>
      <c r="I17" s="8" t="s">
        <v>169</v>
      </c>
      <c r="J17" s="10" t="s">
        <v>170</v>
      </c>
      <c r="K17" s="10" t="s">
        <v>8</v>
      </c>
      <c r="L17" s="10"/>
    </row>
    <row r="18" customFormat="false" ht="34.5" hidden="false" customHeight="true" outlineLevel="0" collapsed="false">
      <c r="A18" s="8" t="s">
        <v>171</v>
      </c>
      <c r="B18" s="8" t="s">
        <v>156</v>
      </c>
      <c r="C18" s="11" t="s">
        <v>9</v>
      </c>
      <c r="D18" s="8" t="s">
        <v>172</v>
      </c>
      <c r="E18" s="8" t="s">
        <v>173</v>
      </c>
      <c r="F18" s="8" t="s">
        <v>174</v>
      </c>
      <c r="G18" s="8" t="s">
        <v>175</v>
      </c>
      <c r="H18" s="8" t="s">
        <v>176</v>
      </c>
      <c r="I18" s="8" t="s">
        <v>177</v>
      </c>
      <c r="J18" s="10" t="s">
        <v>178</v>
      </c>
      <c r="K18" s="10" t="s">
        <v>8</v>
      </c>
      <c r="L18" s="10"/>
    </row>
    <row r="19" customFormat="false" ht="34.5" hidden="false" customHeight="true" outlineLevel="0" collapsed="false">
      <c r="A19" s="8" t="s">
        <v>179</v>
      </c>
      <c r="B19" s="8" t="s">
        <v>156</v>
      </c>
      <c r="C19" s="9" t="s">
        <v>7</v>
      </c>
      <c r="D19" s="8" t="s">
        <v>180</v>
      </c>
      <c r="E19" s="8" t="s">
        <v>181</v>
      </c>
      <c r="F19" s="8" t="s">
        <v>182</v>
      </c>
      <c r="G19" s="8" t="s">
        <v>183</v>
      </c>
      <c r="H19" s="8" t="s">
        <v>184</v>
      </c>
      <c r="I19" s="8" t="s">
        <v>78</v>
      </c>
      <c r="J19" s="10" t="s">
        <v>185</v>
      </c>
      <c r="K19" s="10" t="s">
        <v>8</v>
      </c>
      <c r="L19" s="10"/>
    </row>
    <row r="20" customFormat="false" ht="34.5" hidden="false" customHeight="true" outlineLevel="0" collapsed="false">
      <c r="A20" s="8" t="s">
        <v>186</v>
      </c>
      <c r="B20" s="8" t="s">
        <v>187</v>
      </c>
      <c r="C20" s="11" t="s">
        <v>9</v>
      </c>
      <c r="D20" s="8" t="s">
        <v>188</v>
      </c>
      <c r="E20" s="8" t="s">
        <v>189</v>
      </c>
      <c r="F20" s="8" t="s">
        <v>190</v>
      </c>
      <c r="G20" s="8" t="s">
        <v>191</v>
      </c>
      <c r="H20" s="8" t="s">
        <v>192</v>
      </c>
      <c r="I20" s="8" t="s">
        <v>193</v>
      </c>
      <c r="J20" s="10" t="s">
        <v>194</v>
      </c>
      <c r="K20" s="10" t="s">
        <v>8</v>
      </c>
      <c r="L20" s="10"/>
    </row>
    <row r="21" customFormat="false" ht="23.25" hidden="false" customHeight="true" outlineLevel="0" collapsed="false">
      <c r="A21" s="8" t="s">
        <v>195</v>
      </c>
      <c r="B21" s="8" t="s">
        <v>187</v>
      </c>
      <c r="C21" s="11" t="s">
        <v>9</v>
      </c>
      <c r="D21" s="8" t="s">
        <v>196</v>
      </c>
      <c r="E21" s="8" t="s">
        <v>197</v>
      </c>
      <c r="F21" s="8" t="s">
        <v>198</v>
      </c>
      <c r="G21" s="8" t="s">
        <v>199</v>
      </c>
      <c r="H21" s="8" t="s">
        <v>200</v>
      </c>
      <c r="I21" s="8" t="s">
        <v>201</v>
      </c>
      <c r="J21" s="10" t="s">
        <v>202</v>
      </c>
      <c r="K21" s="10" t="s">
        <v>8</v>
      </c>
      <c r="L21" s="10"/>
    </row>
    <row r="22" customFormat="false" ht="34.5" hidden="false" customHeight="true" outlineLevel="0" collapsed="false">
      <c r="A22" s="8" t="s">
        <v>203</v>
      </c>
      <c r="B22" s="8" t="s">
        <v>156</v>
      </c>
      <c r="C22" s="12" t="s">
        <v>11</v>
      </c>
      <c r="D22" s="8" t="s">
        <v>204</v>
      </c>
      <c r="E22" s="8" t="s">
        <v>205</v>
      </c>
      <c r="F22" s="8" t="s">
        <v>206</v>
      </c>
      <c r="G22" s="8" t="s">
        <v>207</v>
      </c>
      <c r="H22" s="8" t="s">
        <v>208</v>
      </c>
      <c r="I22" s="8" t="s">
        <v>209</v>
      </c>
      <c r="J22" s="10" t="s">
        <v>210</v>
      </c>
      <c r="K22" s="10" t="s">
        <v>8</v>
      </c>
      <c r="L22" s="10"/>
    </row>
    <row r="23" customFormat="false" ht="23.25" hidden="false" customHeight="true" outlineLevel="0" collapsed="false">
      <c r="A23" s="8" t="s">
        <v>211</v>
      </c>
      <c r="B23" s="8" t="s">
        <v>212</v>
      </c>
      <c r="C23" s="9" t="s">
        <v>7</v>
      </c>
      <c r="D23" s="8" t="s">
        <v>213</v>
      </c>
      <c r="E23" s="8" t="s">
        <v>214</v>
      </c>
      <c r="F23" s="8" t="s">
        <v>215</v>
      </c>
      <c r="G23" s="8" t="s">
        <v>216</v>
      </c>
      <c r="H23" s="8" t="s">
        <v>217</v>
      </c>
      <c r="I23" s="8" t="s">
        <v>218</v>
      </c>
      <c r="J23" s="10"/>
      <c r="K23" s="10" t="s">
        <v>6</v>
      </c>
      <c r="L23" s="10"/>
    </row>
    <row r="24" customFormat="false" ht="79.5" hidden="false" customHeight="true" outlineLevel="0" collapsed="false">
      <c r="A24" s="8" t="s">
        <v>219</v>
      </c>
      <c r="B24" s="8" t="s">
        <v>220</v>
      </c>
      <c r="C24" s="9" t="s">
        <v>7</v>
      </c>
      <c r="D24" s="8" t="s">
        <v>221</v>
      </c>
      <c r="E24" s="8" t="s">
        <v>222</v>
      </c>
      <c r="F24" s="8" t="s">
        <v>223</v>
      </c>
      <c r="G24" s="8" t="s">
        <v>224</v>
      </c>
      <c r="H24" s="8" t="s">
        <v>225</v>
      </c>
      <c r="I24" s="8" t="s">
        <v>226</v>
      </c>
      <c r="J24" s="10"/>
      <c r="K24" s="10" t="s">
        <v>6</v>
      </c>
      <c r="L24" s="10"/>
    </row>
    <row r="25" customFormat="false" ht="34.5" hidden="false" customHeight="true" outlineLevel="0" collapsed="false">
      <c r="A25" s="8" t="s">
        <v>227</v>
      </c>
      <c r="B25" s="8" t="s">
        <v>228</v>
      </c>
      <c r="C25" s="12" t="s">
        <v>11</v>
      </c>
      <c r="D25" s="8" t="s">
        <v>229</v>
      </c>
      <c r="E25" s="8" t="s">
        <v>230</v>
      </c>
      <c r="F25" s="8" t="s">
        <v>231</v>
      </c>
      <c r="G25" s="8" t="s">
        <v>232</v>
      </c>
      <c r="H25" s="8" t="s">
        <v>233</v>
      </c>
      <c r="I25" s="8" t="s">
        <v>153</v>
      </c>
      <c r="J25" s="10"/>
      <c r="K25" s="10" t="s">
        <v>6</v>
      </c>
      <c r="L25" s="10"/>
    </row>
    <row r="26" customFormat="false" ht="34.5" hidden="false" customHeight="true" outlineLevel="0" collapsed="false">
      <c r="A26" s="8" t="s">
        <v>234</v>
      </c>
      <c r="B26" s="8" t="s">
        <v>212</v>
      </c>
      <c r="C26" s="11" t="s">
        <v>9</v>
      </c>
      <c r="D26" s="8" t="s">
        <v>235</v>
      </c>
      <c r="E26" s="8" t="s">
        <v>236</v>
      </c>
      <c r="F26" s="8" t="s">
        <v>237</v>
      </c>
      <c r="G26" s="8" t="s">
        <v>238</v>
      </c>
      <c r="H26" s="8" t="s">
        <v>239</v>
      </c>
      <c r="I26" s="8" t="s">
        <v>218</v>
      </c>
      <c r="J26" s="10"/>
      <c r="K26" s="10" t="s">
        <v>6</v>
      </c>
      <c r="L26" s="10"/>
    </row>
    <row r="27" customFormat="false" ht="23.25" hidden="false" customHeight="true" outlineLevel="0" collapsed="false">
      <c r="A27" s="8" t="s">
        <v>240</v>
      </c>
      <c r="B27" s="8" t="s">
        <v>156</v>
      </c>
      <c r="C27" s="12" t="s">
        <v>11</v>
      </c>
      <c r="D27" s="8" t="s">
        <v>241</v>
      </c>
      <c r="E27" s="8" t="s">
        <v>242</v>
      </c>
      <c r="F27" s="8" t="s">
        <v>243</v>
      </c>
      <c r="G27" s="8" t="s">
        <v>244</v>
      </c>
      <c r="H27" s="8" t="s">
        <v>245</v>
      </c>
      <c r="I27" s="8" t="s">
        <v>246</v>
      </c>
      <c r="J27" s="10"/>
      <c r="K27" s="10" t="s">
        <v>6</v>
      </c>
      <c r="L27" s="10"/>
    </row>
  </sheetData>
  <autoFilter ref="A1:L27"/>
  <dataValidations count="1">
    <dataValidation allowBlank="true" errorStyle="stop" operator="between" showDropDown="false" showErrorMessage="false" showInputMessage="false" sqref="K2:K27" type="list">
      <formula1>"Open,Decided,Discuss,Later"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45"/>
    <col collapsed="false" customWidth="true" hidden="false" outlineLevel="0" max="4" min="4" style="1" width="40"/>
  </cols>
  <sheetData>
    <row r="1" customFormat="false" ht="15.75" hidden="false" customHeight="true" outlineLevel="0" collapsed="false">
      <c r="A1" s="13" t="s">
        <v>247</v>
      </c>
    </row>
    <row r="2" customFormat="false" ht="45" hidden="false" customHeight="true" outlineLevel="0" collapsed="false">
      <c r="A2" s="14" t="s">
        <v>248</v>
      </c>
      <c r="B2" s="14"/>
      <c r="C2" s="14"/>
      <c r="D2" s="14"/>
    </row>
    <row r="4" customFormat="false" ht="15" hidden="false" customHeight="true" outlineLevel="0" collapsed="false">
      <c r="A4" s="15" t="s">
        <v>249</v>
      </c>
      <c r="B4" s="15" t="s">
        <v>250</v>
      </c>
      <c r="C4" s="15" t="s">
        <v>251</v>
      </c>
      <c r="D4" s="15" t="s">
        <v>252</v>
      </c>
    </row>
    <row r="5" customFormat="false" ht="23.25" hidden="false" customHeight="true" outlineLevel="0" collapsed="false">
      <c r="A5" s="16" t="s">
        <v>253</v>
      </c>
      <c r="B5" s="8" t="s">
        <v>254</v>
      </c>
      <c r="C5" s="8" t="s">
        <v>255</v>
      </c>
      <c r="D5" s="8" t="s">
        <v>256</v>
      </c>
    </row>
    <row r="6" customFormat="false" ht="23.25" hidden="false" customHeight="true" outlineLevel="0" collapsed="false">
      <c r="A6" s="16" t="s">
        <v>257</v>
      </c>
      <c r="B6" s="8" t="s">
        <v>258</v>
      </c>
      <c r="C6" s="8" t="s">
        <v>259</v>
      </c>
      <c r="D6" s="8" t="s">
        <v>260</v>
      </c>
    </row>
    <row r="7" customFormat="false" ht="23.25" hidden="false" customHeight="true" outlineLevel="0" collapsed="false">
      <c r="A7" s="16" t="s">
        <v>261</v>
      </c>
      <c r="B7" s="8" t="s">
        <v>262</v>
      </c>
      <c r="C7" s="8" t="s">
        <v>263</v>
      </c>
      <c r="D7" s="8" t="s">
        <v>264</v>
      </c>
    </row>
    <row r="8" customFormat="false" ht="15" hidden="false" customHeight="true" outlineLevel="0" collapsed="false">
      <c r="A8" s="16" t="s">
        <v>265</v>
      </c>
      <c r="B8" s="8" t="s">
        <v>266</v>
      </c>
      <c r="C8" s="8" t="s">
        <v>267</v>
      </c>
      <c r="D8" s="8" t="s">
        <v>268</v>
      </c>
    </row>
    <row r="9" customFormat="false" ht="15" hidden="false" customHeight="true" outlineLevel="0" collapsed="false">
      <c r="A9" s="16" t="s">
        <v>269</v>
      </c>
      <c r="B9" s="8" t="s">
        <v>270</v>
      </c>
      <c r="C9" s="8" t="s">
        <v>271</v>
      </c>
      <c r="D9" s="8" t="s">
        <v>272</v>
      </c>
    </row>
    <row r="10" customFormat="false" ht="15" hidden="false" customHeight="true" outlineLevel="0" collapsed="false">
      <c r="A10" s="16" t="s">
        <v>273</v>
      </c>
      <c r="B10" s="8" t="s">
        <v>274</v>
      </c>
      <c r="C10" s="8" t="s">
        <v>275</v>
      </c>
      <c r="D10" s="8" t="s">
        <v>276</v>
      </c>
    </row>
    <row r="11" customFormat="false" ht="15" hidden="false" customHeight="true" outlineLevel="0" collapsed="false">
      <c r="A11" s="16" t="s">
        <v>277</v>
      </c>
      <c r="B11" s="8" t="s">
        <v>278</v>
      </c>
      <c r="C11" s="8" t="s">
        <v>278</v>
      </c>
      <c r="D11" s="8" t="s">
        <v>279</v>
      </c>
    </row>
    <row r="12" customFormat="false" ht="15" hidden="false" customHeight="true" outlineLevel="0" collapsed="false">
      <c r="A12" s="16" t="s">
        <v>280</v>
      </c>
      <c r="B12" s="8" t="s">
        <v>281</v>
      </c>
      <c r="C12" s="8" t="s">
        <v>272</v>
      </c>
      <c r="D12" s="8" t="s">
        <v>282</v>
      </c>
    </row>
    <row r="13" customFormat="false" ht="23.25" hidden="false" customHeight="true" outlineLevel="0" collapsed="false">
      <c r="A13" s="16" t="s">
        <v>283</v>
      </c>
      <c r="B13" s="8" t="s">
        <v>284</v>
      </c>
      <c r="C13" s="8" t="s">
        <v>285</v>
      </c>
      <c r="D13" s="8" t="s">
        <v>286</v>
      </c>
    </row>
    <row r="14" customFormat="false" ht="23.25" hidden="false" customHeight="true" outlineLevel="0" collapsed="false">
      <c r="A14" s="16" t="s">
        <v>287</v>
      </c>
      <c r="B14" s="8" t="s">
        <v>288</v>
      </c>
      <c r="C14" s="8" t="s">
        <v>289</v>
      </c>
      <c r="D14" s="8" t="s">
        <v>290</v>
      </c>
    </row>
    <row r="15" customFormat="false" ht="23.25" hidden="false" customHeight="true" outlineLevel="0" collapsed="false">
      <c r="A15" s="16" t="s">
        <v>291</v>
      </c>
      <c r="B15" s="8" t="s">
        <v>292</v>
      </c>
      <c r="C15" s="8" t="s">
        <v>293</v>
      </c>
      <c r="D15" s="8" t="s">
        <v>294</v>
      </c>
    </row>
    <row r="17" customFormat="false" ht="15" hidden="false" customHeight="true" outlineLevel="0" collapsed="false">
      <c r="A17" s="5" t="s">
        <v>295</v>
      </c>
    </row>
    <row r="18" customFormat="false" ht="15" hidden="false" customHeight="true" outlineLevel="0" collapsed="false">
      <c r="A18" s="4" t="s">
        <v>296</v>
      </c>
      <c r="B18" s="4"/>
      <c r="C18" s="4"/>
      <c r="D18" s="4"/>
    </row>
    <row r="19" customFormat="false" ht="15" hidden="false" customHeight="true" outlineLevel="0" collapsed="false">
      <c r="A19" s="4" t="s">
        <v>297</v>
      </c>
      <c r="B19" s="4"/>
      <c r="C19" s="4"/>
      <c r="D19" s="4"/>
    </row>
    <row r="20" customFormat="false" ht="15" hidden="false" customHeight="true" outlineLevel="0" collapsed="false">
      <c r="A20" s="4" t="s">
        <v>298</v>
      </c>
      <c r="B20" s="4"/>
      <c r="C20" s="4"/>
      <c r="D20" s="4"/>
    </row>
    <row r="21" customFormat="false" ht="15" hidden="false" customHeight="true" outlineLevel="0" collapsed="false">
      <c r="A21" s="4" t="s">
        <v>299</v>
      </c>
      <c r="B21" s="4"/>
      <c r="C21" s="4"/>
      <c r="D21" s="4"/>
    </row>
    <row r="22" customFormat="false" ht="15" hidden="false" customHeight="true" outlineLevel="0" collapsed="false">
      <c r="A22" s="4" t="s">
        <v>300</v>
      </c>
      <c r="B22" s="4"/>
      <c r="C22" s="4"/>
      <c r="D22" s="4"/>
    </row>
    <row r="23" customFormat="false" ht="15" hidden="false" customHeight="true" outlineLevel="0" collapsed="false">
      <c r="A23" s="17"/>
      <c r="B23" s="17"/>
      <c r="C23" s="17"/>
      <c r="D23" s="17"/>
    </row>
    <row r="24" customFormat="false" ht="15" hidden="false" customHeight="true" outlineLevel="0" collapsed="false">
      <c r="A24" s="17"/>
      <c r="B24" s="17"/>
      <c r="C24" s="17"/>
      <c r="D24" s="17"/>
    </row>
    <row r="25" customFormat="false" ht="15" hidden="false" customHeight="true" outlineLevel="0" collapsed="false">
      <c r="A25" s="17"/>
      <c r="B25" s="17"/>
      <c r="C25" s="17"/>
      <c r="D25" s="17"/>
    </row>
  </sheetData>
  <mergeCells count="7">
    <mergeCell ref="A2:D2"/>
    <mergeCell ref="A18:D18"/>
    <mergeCell ref="A19:D19"/>
    <mergeCell ref="A20:D20"/>
    <mergeCell ref="A21:D21"/>
    <mergeCell ref="A22:D22"/>
    <mergeCell ref="A23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5"/>
    <col collapsed="false" customWidth="true" hidden="false" outlineLevel="0" max="4" min="3" style="1" width="12"/>
    <col collapsed="false" customWidth="true" hidden="false" outlineLevel="0" max="5" min="5" style="1" width="20"/>
    <col collapsed="false" customWidth="true" hidden="false" outlineLevel="0" max="6" min="6" style="1" width="30"/>
  </cols>
  <sheetData>
    <row r="1" customFormat="false" ht="26.25" hidden="false" customHeight="true" outlineLevel="0" collapsed="false">
      <c r="A1" s="7" t="s">
        <v>301</v>
      </c>
      <c r="B1" s="7" t="s">
        <v>302</v>
      </c>
      <c r="C1" s="7" t="s">
        <v>303</v>
      </c>
      <c r="D1" s="7" t="s">
        <v>304</v>
      </c>
      <c r="E1" s="7" t="s">
        <v>305</v>
      </c>
      <c r="F1" s="7" t="s">
        <v>306</v>
      </c>
    </row>
    <row r="2" customFormat="false" ht="15" hidden="false" customHeight="true" outlineLevel="0" collapsed="false">
      <c r="A2" s="8" t="s">
        <v>307</v>
      </c>
      <c r="B2" s="8" t="s">
        <v>308</v>
      </c>
      <c r="C2" s="8" t="s">
        <v>309</v>
      </c>
      <c r="D2" s="9" t="s">
        <v>18</v>
      </c>
      <c r="E2" s="8" t="s">
        <v>62</v>
      </c>
      <c r="F2" s="10"/>
    </row>
    <row r="3" customFormat="false" ht="15" hidden="false" customHeight="true" outlineLevel="0" collapsed="false">
      <c r="A3" s="8" t="s">
        <v>310</v>
      </c>
      <c r="B3" s="8" t="s">
        <v>311</v>
      </c>
      <c r="C3" s="8" t="s">
        <v>309</v>
      </c>
      <c r="D3" s="9" t="s">
        <v>18</v>
      </c>
      <c r="E3" s="8" t="s">
        <v>62</v>
      </c>
      <c r="F3" s="10"/>
    </row>
    <row r="4" customFormat="false" ht="15" hidden="false" customHeight="true" outlineLevel="0" collapsed="false">
      <c r="A4" s="8" t="s">
        <v>312</v>
      </c>
      <c r="B4" s="8" t="s">
        <v>313</v>
      </c>
      <c r="C4" s="8" t="s">
        <v>309</v>
      </c>
      <c r="D4" s="11" t="s">
        <v>17</v>
      </c>
      <c r="E4" s="8" t="s">
        <v>314</v>
      </c>
      <c r="F4" s="10"/>
    </row>
    <row r="5" customFormat="false" ht="23.25" hidden="false" customHeight="true" outlineLevel="0" collapsed="false">
      <c r="A5" s="8" t="s">
        <v>315</v>
      </c>
      <c r="B5" s="8" t="s">
        <v>316</v>
      </c>
      <c r="C5" s="8" t="s">
        <v>317</v>
      </c>
      <c r="D5" s="11" t="s">
        <v>17</v>
      </c>
      <c r="E5" s="8" t="s">
        <v>318</v>
      </c>
      <c r="F5" s="10"/>
    </row>
    <row r="6" customFormat="false" ht="23.25" hidden="false" customHeight="true" outlineLevel="0" collapsed="false">
      <c r="A6" s="8" t="s">
        <v>319</v>
      </c>
      <c r="B6" s="8" t="s">
        <v>320</v>
      </c>
      <c r="C6" s="8" t="s">
        <v>321</v>
      </c>
      <c r="D6" s="9" t="s">
        <v>18</v>
      </c>
      <c r="E6" s="8" t="s">
        <v>46</v>
      </c>
      <c r="F6" s="10"/>
    </row>
    <row r="7" customFormat="false" ht="15" hidden="false" customHeight="true" outlineLevel="0" collapsed="false">
      <c r="A7" s="8" t="s">
        <v>322</v>
      </c>
      <c r="B7" s="8" t="s">
        <v>323</v>
      </c>
      <c r="C7" s="8" t="s">
        <v>317</v>
      </c>
      <c r="D7" s="9" t="s">
        <v>18</v>
      </c>
      <c r="E7" s="8" t="s">
        <v>234</v>
      </c>
      <c r="F7" s="10"/>
    </row>
    <row r="8" customFormat="false" ht="15" hidden="false" customHeight="true" outlineLevel="0" collapsed="false">
      <c r="A8" s="8" t="s">
        <v>324</v>
      </c>
      <c r="B8" s="8" t="s">
        <v>325</v>
      </c>
      <c r="C8" s="8" t="s">
        <v>317</v>
      </c>
      <c r="D8" s="9" t="s">
        <v>18</v>
      </c>
      <c r="E8" s="8" t="s">
        <v>46</v>
      </c>
      <c r="F8" s="10"/>
    </row>
    <row r="9" customFormat="false" ht="15" hidden="false" customHeight="true" outlineLevel="0" collapsed="false">
      <c r="A9" s="8" t="s">
        <v>326</v>
      </c>
      <c r="B9" s="8" t="s">
        <v>327</v>
      </c>
      <c r="C9" s="8" t="s">
        <v>317</v>
      </c>
      <c r="D9" s="12" t="s">
        <v>16</v>
      </c>
      <c r="E9" s="8" t="s">
        <v>328</v>
      </c>
      <c r="F9" s="10"/>
    </row>
    <row r="10" customFormat="false" ht="15" hidden="false" customHeight="true" outlineLevel="0" collapsed="false">
      <c r="A10" s="8" t="s">
        <v>329</v>
      </c>
      <c r="B10" s="8" t="s">
        <v>329</v>
      </c>
      <c r="C10" s="8" t="s">
        <v>309</v>
      </c>
      <c r="D10" s="11" t="s">
        <v>17</v>
      </c>
      <c r="E10" s="8" t="s">
        <v>155</v>
      </c>
      <c r="F10" s="10"/>
    </row>
    <row r="11" customFormat="false" ht="15" hidden="false" customHeight="true" outlineLevel="0" collapsed="false">
      <c r="A11" s="8" t="s">
        <v>330</v>
      </c>
      <c r="B11" s="8" t="s">
        <v>330</v>
      </c>
      <c r="C11" s="8" t="s">
        <v>309</v>
      </c>
      <c r="D11" s="12" t="s">
        <v>16</v>
      </c>
      <c r="E11" s="8" t="s">
        <v>240</v>
      </c>
      <c r="F11" s="10"/>
    </row>
    <row r="12" customFormat="false" ht="15" hidden="false" customHeight="true" outlineLevel="0" collapsed="false">
      <c r="A12" s="8" t="s">
        <v>331</v>
      </c>
      <c r="B12" s="8" t="s">
        <v>332</v>
      </c>
      <c r="C12" s="8" t="s">
        <v>309</v>
      </c>
      <c r="D12" s="11" t="s">
        <v>17</v>
      </c>
      <c r="E12" s="8" t="s">
        <v>171</v>
      </c>
      <c r="F12" s="10"/>
    </row>
    <row r="13" customFormat="false" ht="15" hidden="false" customHeight="true" outlineLevel="0" collapsed="false">
      <c r="A13" s="8" t="s">
        <v>333</v>
      </c>
      <c r="B13" s="8" t="s">
        <v>334</v>
      </c>
      <c r="C13" s="8" t="s">
        <v>309</v>
      </c>
      <c r="D13" s="11" t="s">
        <v>17</v>
      </c>
      <c r="E13" s="8" t="s">
        <v>163</v>
      </c>
      <c r="F13" s="10"/>
    </row>
    <row r="14" customFormat="false" ht="15" hidden="false" customHeight="true" outlineLevel="0" collapsed="false">
      <c r="A14" s="8" t="s">
        <v>335</v>
      </c>
      <c r="B14" s="8" t="s">
        <v>336</v>
      </c>
      <c r="C14" s="8" t="s">
        <v>309</v>
      </c>
      <c r="D14" s="9" t="s">
        <v>18</v>
      </c>
      <c r="E14" s="8" t="s">
        <v>337</v>
      </c>
      <c r="F14" s="10"/>
    </row>
    <row r="15" customFormat="false" ht="15" hidden="false" customHeight="true" outlineLevel="0" collapsed="false">
      <c r="A15" s="8" t="s">
        <v>338</v>
      </c>
      <c r="B15" s="8" t="s">
        <v>339</v>
      </c>
      <c r="C15" s="8" t="s">
        <v>309</v>
      </c>
      <c r="D15" s="9" t="s">
        <v>18</v>
      </c>
      <c r="E15" s="8" t="s">
        <v>340</v>
      </c>
      <c r="F15" s="10"/>
    </row>
    <row r="16" customFormat="false" ht="15" hidden="false" customHeight="true" outlineLevel="0" collapsed="false">
      <c r="A16" s="8" t="s">
        <v>341</v>
      </c>
      <c r="B16" s="8" t="s">
        <v>342</v>
      </c>
      <c r="C16" s="8" t="s">
        <v>309</v>
      </c>
      <c r="D16" s="11" t="s">
        <v>17</v>
      </c>
      <c r="E16" s="8" t="s">
        <v>203</v>
      </c>
      <c r="F16" s="10"/>
    </row>
    <row r="17" customFormat="false" ht="15" hidden="false" customHeight="true" outlineLevel="0" collapsed="false">
      <c r="A17" s="8" t="s">
        <v>343</v>
      </c>
      <c r="B17" s="8" t="s">
        <v>344</v>
      </c>
      <c r="C17" s="8" t="s">
        <v>309</v>
      </c>
      <c r="D17" s="11" t="s">
        <v>17</v>
      </c>
      <c r="E17" s="8" t="s">
        <v>171</v>
      </c>
      <c r="F17" s="10"/>
    </row>
    <row r="18" customFormat="false" ht="15" hidden="false" customHeight="true" outlineLevel="0" collapsed="false">
      <c r="A18" s="8" t="s">
        <v>345</v>
      </c>
      <c r="B18" s="8" t="s">
        <v>346</v>
      </c>
      <c r="C18" s="8" t="s">
        <v>347</v>
      </c>
      <c r="D18" s="11" t="s">
        <v>17</v>
      </c>
      <c r="E18" s="8" t="s">
        <v>348</v>
      </c>
      <c r="F18" s="10"/>
    </row>
    <row r="19" customFormat="false" ht="15" hidden="false" customHeight="true" outlineLevel="0" collapsed="false">
      <c r="A19" s="8" t="s">
        <v>349</v>
      </c>
      <c r="B19" s="8" t="s">
        <v>350</v>
      </c>
      <c r="C19" s="8" t="s">
        <v>309</v>
      </c>
      <c r="D19" s="11" t="s">
        <v>17</v>
      </c>
      <c r="E19" s="8" t="s">
        <v>179</v>
      </c>
      <c r="F19" s="10"/>
    </row>
    <row r="20" customFormat="false" ht="15" hidden="false" customHeight="true" outlineLevel="0" collapsed="false">
      <c r="A20" s="8" t="s">
        <v>351</v>
      </c>
      <c r="B20" s="8" t="s">
        <v>352</v>
      </c>
      <c r="C20" s="8" t="s">
        <v>309</v>
      </c>
      <c r="D20" s="11" t="s">
        <v>17</v>
      </c>
      <c r="E20" s="8" t="s">
        <v>186</v>
      </c>
      <c r="F20" s="10"/>
    </row>
    <row r="21" customFormat="false" ht="15" hidden="false" customHeight="true" outlineLevel="0" collapsed="false">
      <c r="A21" s="8" t="s">
        <v>353</v>
      </c>
      <c r="B21" s="8" t="s">
        <v>354</v>
      </c>
      <c r="C21" s="8" t="s">
        <v>355</v>
      </c>
      <c r="D21" s="11" t="s">
        <v>17</v>
      </c>
      <c r="E21" s="8" t="s">
        <v>186</v>
      </c>
      <c r="F21" s="10"/>
    </row>
    <row r="22" customFormat="false" ht="15" hidden="false" customHeight="true" outlineLevel="0" collapsed="false">
      <c r="A22" s="8" t="s">
        <v>356</v>
      </c>
      <c r="B22" s="8" t="s">
        <v>357</v>
      </c>
      <c r="C22" s="8" t="s">
        <v>358</v>
      </c>
      <c r="D22" s="9" t="s">
        <v>18</v>
      </c>
      <c r="E22" s="8" t="s">
        <v>88</v>
      </c>
      <c r="F22" s="10"/>
    </row>
    <row r="23" customFormat="false" ht="15" hidden="false" customHeight="true" outlineLevel="0" collapsed="false">
      <c r="A23" s="8" t="s">
        <v>359</v>
      </c>
      <c r="B23" s="8" t="s">
        <v>360</v>
      </c>
      <c r="C23" s="8" t="s">
        <v>361</v>
      </c>
      <c r="D23" s="9" t="s">
        <v>18</v>
      </c>
      <c r="E23" s="8" t="s">
        <v>88</v>
      </c>
      <c r="F23" s="10"/>
    </row>
    <row r="24" customFormat="false" ht="15" hidden="false" customHeight="true" outlineLevel="0" collapsed="false">
      <c r="A24" s="8" t="s">
        <v>362</v>
      </c>
      <c r="B24" s="8" t="s">
        <v>363</v>
      </c>
      <c r="C24" s="8" t="s">
        <v>364</v>
      </c>
      <c r="D24" s="9" t="s">
        <v>18</v>
      </c>
      <c r="E24" s="8" t="s">
        <v>88</v>
      </c>
      <c r="F24" s="10"/>
    </row>
    <row r="25" customFormat="false" ht="15" hidden="false" customHeight="true" outlineLevel="0" collapsed="false">
      <c r="A25" s="8" t="s">
        <v>365</v>
      </c>
      <c r="B25" s="8" t="s">
        <v>366</v>
      </c>
      <c r="C25" s="8" t="s">
        <v>309</v>
      </c>
      <c r="D25" s="11" t="s">
        <v>17</v>
      </c>
      <c r="E25" s="8" t="s">
        <v>88</v>
      </c>
      <c r="F25" s="10"/>
    </row>
    <row r="26" customFormat="false" ht="15" hidden="false" customHeight="true" outlineLevel="0" collapsed="false">
      <c r="A26" s="8" t="s">
        <v>367</v>
      </c>
      <c r="B26" s="8" t="s">
        <v>368</v>
      </c>
      <c r="C26" s="8" t="s">
        <v>328</v>
      </c>
      <c r="D26" s="18" t="s">
        <v>19</v>
      </c>
      <c r="E26" s="8" t="s">
        <v>37</v>
      </c>
      <c r="F26" s="10"/>
    </row>
    <row r="27" customFormat="false" ht="15" hidden="false" customHeight="true" outlineLevel="0" collapsed="false">
      <c r="A27" s="8" t="s">
        <v>369</v>
      </c>
      <c r="B27" s="8" t="s">
        <v>328</v>
      </c>
      <c r="C27" s="8" t="s">
        <v>328</v>
      </c>
      <c r="D27" s="18" t="s">
        <v>19</v>
      </c>
      <c r="E27" s="8" t="s">
        <v>37</v>
      </c>
      <c r="F27" s="10"/>
    </row>
    <row r="28" customFormat="false" ht="15" hidden="false" customHeight="true" outlineLevel="0" collapsed="false">
      <c r="A28" s="8" t="s">
        <v>370</v>
      </c>
      <c r="B28" s="8" t="s">
        <v>371</v>
      </c>
      <c r="C28" s="8" t="s">
        <v>309</v>
      </c>
      <c r="D28" s="18" t="s">
        <v>19</v>
      </c>
      <c r="E28" s="8" t="s">
        <v>37</v>
      </c>
      <c r="F28" s="10"/>
    </row>
    <row r="29" customFormat="false" ht="15" hidden="false" customHeight="true" outlineLevel="0" collapsed="false">
      <c r="A29" s="8" t="s">
        <v>372</v>
      </c>
      <c r="B29" s="8" t="s">
        <v>373</v>
      </c>
      <c r="C29" s="8" t="s">
        <v>309</v>
      </c>
      <c r="D29" s="18" t="s">
        <v>19</v>
      </c>
      <c r="E29" s="8" t="s">
        <v>37</v>
      </c>
      <c r="F29" s="10"/>
    </row>
    <row r="30" customFormat="false" ht="15" hidden="false" customHeight="true" outlineLevel="0" collapsed="false">
      <c r="A30" s="8" t="s">
        <v>374</v>
      </c>
      <c r="B30" s="8" t="s">
        <v>328</v>
      </c>
      <c r="C30" s="8" t="s">
        <v>328</v>
      </c>
      <c r="D30" s="18" t="s">
        <v>19</v>
      </c>
      <c r="E30" s="8" t="s">
        <v>37</v>
      </c>
      <c r="F30" s="10"/>
    </row>
    <row r="31" customFormat="false" ht="15" hidden="false" customHeight="true" outlineLevel="0" collapsed="false">
      <c r="A31" s="8" t="s">
        <v>375</v>
      </c>
      <c r="B31" s="8" t="s">
        <v>376</v>
      </c>
      <c r="C31" s="8" t="s">
        <v>309</v>
      </c>
      <c r="D31" s="11" t="s">
        <v>17</v>
      </c>
      <c r="E31" s="8" t="s">
        <v>195</v>
      </c>
      <c r="F31" s="10"/>
    </row>
    <row r="32" customFormat="false" ht="15" hidden="false" customHeight="true" outlineLevel="0" collapsed="false">
      <c r="A32" s="8" t="s">
        <v>377</v>
      </c>
      <c r="B32" s="8" t="s">
        <v>378</v>
      </c>
      <c r="C32" s="8" t="s">
        <v>309</v>
      </c>
      <c r="D32" s="11" t="s">
        <v>17</v>
      </c>
      <c r="E32" s="8" t="s">
        <v>139</v>
      </c>
      <c r="F32" s="10"/>
    </row>
    <row r="33" customFormat="false" ht="15" hidden="false" customHeight="true" outlineLevel="0" collapsed="false">
      <c r="A33" s="8" t="s">
        <v>379</v>
      </c>
      <c r="B33" s="8" t="s">
        <v>380</v>
      </c>
      <c r="C33" s="8" t="s">
        <v>309</v>
      </c>
      <c r="D33" s="11" t="s">
        <v>17</v>
      </c>
      <c r="E33" s="8" t="s">
        <v>139</v>
      </c>
      <c r="F33" s="10"/>
    </row>
    <row r="34" customFormat="false" ht="15" hidden="false" customHeight="true" outlineLevel="0" collapsed="false">
      <c r="A34" s="8" t="s">
        <v>381</v>
      </c>
      <c r="B34" s="8" t="s">
        <v>382</v>
      </c>
      <c r="C34" s="8" t="s">
        <v>383</v>
      </c>
      <c r="D34" s="11" t="s">
        <v>17</v>
      </c>
      <c r="E34" s="8" t="s">
        <v>384</v>
      </c>
      <c r="F34" s="10"/>
    </row>
  </sheetData>
  <autoFilter ref="A1:F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50"/>
    <col collapsed="false" customWidth="true" hidden="false" outlineLevel="0" max="3" min="3" style="1" width="45"/>
    <col collapsed="false" customWidth="true" hidden="false" outlineLevel="0" max="4" min="4" style="1" width="14"/>
    <col collapsed="false" customWidth="true" hidden="false" outlineLevel="0" max="5" min="5" style="1" width="30"/>
  </cols>
  <sheetData>
    <row r="1" customFormat="false" ht="15" hidden="false" customHeight="true" outlineLevel="0" collapsed="false">
      <c r="A1" s="7" t="s">
        <v>385</v>
      </c>
      <c r="B1" s="7" t="s">
        <v>386</v>
      </c>
      <c r="C1" s="7" t="s">
        <v>387</v>
      </c>
      <c r="D1" s="7" t="s">
        <v>388</v>
      </c>
      <c r="E1" s="7" t="s">
        <v>306</v>
      </c>
    </row>
    <row r="2" customFormat="false" ht="15" hidden="false" customHeight="true" outlineLevel="0" collapsed="false">
      <c r="A2" s="8" t="s">
        <v>317</v>
      </c>
      <c r="B2" s="8" t="s">
        <v>389</v>
      </c>
      <c r="C2" s="8" t="s">
        <v>390</v>
      </c>
      <c r="D2" s="8" t="s">
        <v>80</v>
      </c>
      <c r="E2" s="10"/>
    </row>
    <row r="3" customFormat="false" ht="15" hidden="false" customHeight="true" outlineLevel="0" collapsed="false">
      <c r="A3" s="8" t="s">
        <v>317</v>
      </c>
      <c r="B3" s="8" t="s">
        <v>391</v>
      </c>
      <c r="C3" s="8" t="s">
        <v>392</v>
      </c>
      <c r="D3" s="8" t="s">
        <v>227</v>
      </c>
      <c r="E3" s="10"/>
    </row>
    <row r="4" customFormat="false" ht="15" hidden="false" customHeight="true" outlineLevel="0" collapsed="false">
      <c r="A4" s="8" t="s">
        <v>317</v>
      </c>
      <c r="B4" s="8" t="s">
        <v>393</v>
      </c>
      <c r="C4" s="8" t="s">
        <v>394</v>
      </c>
      <c r="D4" s="8" t="s">
        <v>219</v>
      </c>
      <c r="E4" s="10"/>
    </row>
    <row r="5" customFormat="false" ht="15" hidden="false" customHeight="true" outlineLevel="0" collapsed="false">
      <c r="A5" s="8" t="s">
        <v>317</v>
      </c>
      <c r="B5" s="8" t="s">
        <v>395</v>
      </c>
      <c r="C5" s="8" t="s">
        <v>396</v>
      </c>
      <c r="D5" s="8" t="s">
        <v>122</v>
      </c>
      <c r="E5" s="10"/>
    </row>
    <row r="6" customFormat="false" ht="15" hidden="false" customHeight="true" outlineLevel="0" collapsed="false">
      <c r="A6" s="8" t="s">
        <v>317</v>
      </c>
      <c r="B6" s="8" t="s">
        <v>397</v>
      </c>
      <c r="C6" s="8" t="s">
        <v>398</v>
      </c>
      <c r="D6" s="8" t="s">
        <v>122</v>
      </c>
      <c r="E6" s="10"/>
    </row>
    <row r="7" customFormat="false" ht="15" hidden="false" customHeight="true" outlineLevel="0" collapsed="false">
      <c r="A7" s="8" t="s">
        <v>317</v>
      </c>
      <c r="B7" s="8" t="s">
        <v>399</v>
      </c>
      <c r="C7" s="8" t="s">
        <v>400</v>
      </c>
      <c r="D7" s="8" t="s">
        <v>46</v>
      </c>
      <c r="E7" s="10"/>
    </row>
    <row r="8" customFormat="false" ht="15" hidden="false" customHeight="true" outlineLevel="0" collapsed="false">
      <c r="A8" s="8" t="s">
        <v>317</v>
      </c>
      <c r="B8" s="8" t="s">
        <v>401</v>
      </c>
      <c r="C8" s="8" t="s">
        <v>402</v>
      </c>
      <c r="D8" s="8" t="s">
        <v>46</v>
      </c>
      <c r="E8" s="10"/>
    </row>
    <row r="9" customFormat="false" ht="15" hidden="false" customHeight="true" outlineLevel="0" collapsed="false">
      <c r="A9" s="8" t="s">
        <v>317</v>
      </c>
      <c r="B9" s="8" t="s">
        <v>403</v>
      </c>
      <c r="C9" s="8" t="s">
        <v>404</v>
      </c>
      <c r="D9" s="8" t="s">
        <v>46</v>
      </c>
      <c r="E9" s="10"/>
    </row>
    <row r="10" customFormat="false" ht="15" hidden="false" customHeight="true" outlineLevel="0" collapsed="false">
      <c r="A10" s="8" t="s">
        <v>317</v>
      </c>
      <c r="B10" s="8" t="s">
        <v>405</v>
      </c>
      <c r="C10" s="8" t="s">
        <v>406</v>
      </c>
      <c r="D10" s="8" t="s">
        <v>211</v>
      </c>
      <c r="E10" s="10"/>
    </row>
    <row r="11" customFormat="false" ht="15" hidden="false" customHeight="true" outlineLevel="0" collapsed="false">
      <c r="A11" s="8" t="s">
        <v>317</v>
      </c>
      <c r="B11" s="8" t="s">
        <v>407</v>
      </c>
      <c r="C11" s="8" t="s">
        <v>408</v>
      </c>
      <c r="D11" s="8" t="s">
        <v>219</v>
      </c>
      <c r="E11" s="10"/>
    </row>
    <row r="12" customFormat="false" ht="15" hidden="false" customHeight="true" outlineLevel="0" collapsed="false">
      <c r="A12" s="8" t="s">
        <v>317</v>
      </c>
      <c r="B12" s="8" t="s">
        <v>409</v>
      </c>
      <c r="C12" s="8" t="s">
        <v>410</v>
      </c>
      <c r="D12" s="8" t="s">
        <v>219</v>
      </c>
      <c r="E12" s="10"/>
    </row>
    <row r="13" customFormat="false" ht="15" hidden="false" customHeight="true" outlineLevel="0" collapsed="false">
      <c r="A13" s="8" t="s">
        <v>317</v>
      </c>
      <c r="B13" s="8" t="s">
        <v>411</v>
      </c>
      <c r="C13" s="8" t="s">
        <v>412</v>
      </c>
      <c r="D13" s="8" t="s">
        <v>211</v>
      </c>
      <c r="E13" s="10"/>
    </row>
    <row r="14" customFormat="false" ht="15" hidden="false" customHeight="true" outlineLevel="0" collapsed="false">
      <c r="A14" s="8" t="s">
        <v>317</v>
      </c>
      <c r="B14" s="8" t="s">
        <v>413</v>
      </c>
      <c r="C14" s="8" t="s">
        <v>414</v>
      </c>
      <c r="D14" s="8" t="s">
        <v>219</v>
      </c>
      <c r="E14" s="10"/>
    </row>
    <row r="15" customFormat="false" ht="15" hidden="false" customHeight="true" outlineLevel="0" collapsed="false">
      <c r="A15" s="8" t="s">
        <v>317</v>
      </c>
      <c r="B15" s="8" t="s">
        <v>415</v>
      </c>
      <c r="C15" s="8" t="s">
        <v>416</v>
      </c>
      <c r="D15" s="8" t="s">
        <v>219</v>
      </c>
      <c r="E15" s="10"/>
    </row>
    <row r="16" customFormat="false" ht="15" hidden="false" customHeight="true" outlineLevel="0" collapsed="false">
      <c r="A16" s="8" t="s">
        <v>317</v>
      </c>
      <c r="B16" s="8" t="s">
        <v>417</v>
      </c>
      <c r="C16" s="8" t="s">
        <v>418</v>
      </c>
      <c r="D16" s="8" t="s">
        <v>219</v>
      </c>
      <c r="E16" s="10"/>
    </row>
    <row r="17" customFormat="false" ht="15" hidden="false" customHeight="true" outlineLevel="0" collapsed="false">
      <c r="A17" s="8" t="s">
        <v>317</v>
      </c>
      <c r="B17" s="8" t="s">
        <v>419</v>
      </c>
      <c r="C17" s="8" t="s">
        <v>420</v>
      </c>
      <c r="D17" s="8" t="s">
        <v>219</v>
      </c>
      <c r="E17" s="10"/>
    </row>
    <row r="18" customFormat="false" ht="15" hidden="false" customHeight="true" outlineLevel="0" collapsed="false">
      <c r="A18" s="8" t="s">
        <v>309</v>
      </c>
      <c r="B18" s="8" t="s">
        <v>421</v>
      </c>
      <c r="C18" s="8" t="s">
        <v>422</v>
      </c>
      <c r="D18" s="8" t="s">
        <v>72</v>
      </c>
      <c r="E18" s="10"/>
    </row>
    <row r="19" customFormat="false" ht="15" hidden="false" customHeight="true" outlineLevel="0" collapsed="false">
      <c r="A19" s="8" t="s">
        <v>309</v>
      </c>
      <c r="B19" s="8" t="s">
        <v>423</v>
      </c>
      <c r="C19" s="8" t="s">
        <v>424</v>
      </c>
      <c r="D19" s="8" t="s">
        <v>155</v>
      </c>
      <c r="E19" s="10"/>
    </row>
    <row r="20" customFormat="false" ht="15" hidden="false" customHeight="true" outlineLevel="0" collapsed="false">
      <c r="A20" s="8" t="s">
        <v>309</v>
      </c>
      <c r="B20" s="8" t="s">
        <v>425</v>
      </c>
      <c r="C20" s="8" t="s">
        <v>426</v>
      </c>
      <c r="D20" s="8" t="s">
        <v>155</v>
      </c>
      <c r="E20" s="10"/>
    </row>
    <row r="21" customFormat="false" ht="15" hidden="false" customHeight="true" outlineLevel="0" collapsed="false">
      <c r="A21" s="8" t="s">
        <v>309</v>
      </c>
      <c r="B21" s="8" t="s">
        <v>427</v>
      </c>
      <c r="C21" s="8" t="s">
        <v>428</v>
      </c>
      <c r="D21" s="8" t="s">
        <v>97</v>
      </c>
      <c r="E21" s="10"/>
    </row>
    <row r="22" customFormat="false" ht="15" hidden="false" customHeight="true" outlineLevel="0" collapsed="false">
      <c r="A22" s="8" t="s">
        <v>309</v>
      </c>
      <c r="B22" s="8" t="s">
        <v>429</v>
      </c>
      <c r="C22" s="8" t="s">
        <v>430</v>
      </c>
      <c r="D22" s="8" t="s">
        <v>219</v>
      </c>
      <c r="E22" s="10"/>
    </row>
    <row r="23" customFormat="false" ht="15" hidden="false" customHeight="true" outlineLevel="0" collapsed="false">
      <c r="A23" s="8" t="s">
        <v>309</v>
      </c>
      <c r="B23" s="8" t="s">
        <v>431</v>
      </c>
      <c r="C23" s="8" t="s">
        <v>432</v>
      </c>
      <c r="D23" s="8" t="s">
        <v>97</v>
      </c>
      <c r="E23" s="10"/>
    </row>
    <row r="24" customFormat="false" ht="15" hidden="false" customHeight="true" outlineLevel="0" collapsed="false">
      <c r="A24" s="8" t="s">
        <v>309</v>
      </c>
      <c r="B24" s="8" t="s">
        <v>433</v>
      </c>
      <c r="C24" s="8" t="s">
        <v>434</v>
      </c>
      <c r="D24" s="8" t="s">
        <v>147</v>
      </c>
      <c r="E24" s="10"/>
    </row>
    <row r="25" customFormat="false" ht="15" hidden="false" customHeight="true" outlineLevel="0" collapsed="false">
      <c r="A25" s="8" t="s">
        <v>309</v>
      </c>
      <c r="B25" s="8" t="s">
        <v>435</v>
      </c>
      <c r="C25" s="8" t="s">
        <v>436</v>
      </c>
      <c r="D25" s="8" t="s">
        <v>147</v>
      </c>
      <c r="E25" s="10"/>
    </row>
    <row r="26" customFormat="false" ht="15" hidden="false" customHeight="true" outlineLevel="0" collapsed="false">
      <c r="A26" s="8" t="s">
        <v>309</v>
      </c>
      <c r="B26" s="8" t="s">
        <v>437</v>
      </c>
      <c r="C26" s="8" t="s">
        <v>438</v>
      </c>
      <c r="D26" s="8" t="s">
        <v>219</v>
      </c>
      <c r="E26" s="10"/>
    </row>
    <row r="27" customFormat="false" ht="23.25" hidden="false" customHeight="true" outlineLevel="0" collapsed="false">
      <c r="A27" s="8" t="s">
        <v>309</v>
      </c>
      <c r="B27" s="8" t="s">
        <v>439</v>
      </c>
      <c r="C27" s="8" t="s">
        <v>440</v>
      </c>
      <c r="D27" s="8" t="s">
        <v>219</v>
      </c>
      <c r="E27" s="10"/>
    </row>
    <row r="28" customFormat="false" ht="15" hidden="false" customHeight="true" outlineLevel="0" collapsed="false">
      <c r="A28" s="8" t="s">
        <v>309</v>
      </c>
      <c r="B28" s="8" t="s">
        <v>441</v>
      </c>
      <c r="C28" s="8" t="s">
        <v>442</v>
      </c>
      <c r="D28" s="8" t="s">
        <v>219</v>
      </c>
      <c r="E28" s="10"/>
    </row>
    <row r="29" customFormat="false" ht="15" hidden="false" customHeight="true" outlineLevel="0" collapsed="false">
      <c r="A29" s="8" t="s">
        <v>309</v>
      </c>
      <c r="B29" s="8" t="s">
        <v>443</v>
      </c>
      <c r="C29" s="8" t="s">
        <v>444</v>
      </c>
      <c r="D29" s="8" t="s">
        <v>219</v>
      </c>
      <c r="E29" s="10"/>
    </row>
    <row r="30" customFormat="false" ht="15" hidden="false" customHeight="true" outlineLevel="0" collapsed="false">
      <c r="A30" s="8" t="s">
        <v>309</v>
      </c>
      <c r="B30" s="8" t="s">
        <v>445</v>
      </c>
      <c r="C30" s="8" t="s">
        <v>446</v>
      </c>
      <c r="D30" s="8" t="s">
        <v>219</v>
      </c>
      <c r="E30" s="10"/>
    </row>
    <row r="31" customFormat="false" ht="15" hidden="false" customHeight="true" outlineLevel="0" collapsed="false">
      <c r="A31" s="8" t="s">
        <v>309</v>
      </c>
      <c r="B31" s="8" t="s">
        <v>447</v>
      </c>
      <c r="C31" s="8" t="s">
        <v>448</v>
      </c>
      <c r="D31" s="8" t="s">
        <v>219</v>
      </c>
      <c r="E31" s="10"/>
    </row>
    <row r="32" customFormat="false" ht="15" hidden="false" customHeight="true" outlineLevel="0" collapsed="false">
      <c r="A32" s="8" t="s">
        <v>309</v>
      </c>
      <c r="B32" s="8" t="s">
        <v>449</v>
      </c>
      <c r="C32" s="8" t="s">
        <v>450</v>
      </c>
      <c r="D32" s="8" t="s">
        <v>219</v>
      </c>
      <c r="E32" s="10"/>
    </row>
    <row r="33" customFormat="false" ht="15" hidden="false" customHeight="true" outlineLevel="0" collapsed="false">
      <c r="A33" s="8" t="s">
        <v>309</v>
      </c>
      <c r="B33" s="8" t="s">
        <v>451</v>
      </c>
      <c r="C33" s="8" t="s">
        <v>452</v>
      </c>
      <c r="D33" s="8" t="s">
        <v>219</v>
      </c>
      <c r="E33" s="10"/>
    </row>
    <row r="34" customFormat="false" ht="15" hidden="false" customHeight="true" outlineLevel="0" collapsed="false">
      <c r="A34" s="8" t="s">
        <v>355</v>
      </c>
      <c r="B34" s="8" t="s">
        <v>453</v>
      </c>
      <c r="C34" s="8" t="s">
        <v>454</v>
      </c>
      <c r="D34" s="8" t="s">
        <v>455</v>
      </c>
      <c r="E34" s="10"/>
    </row>
  </sheetData>
  <autoFilter ref="A1:E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5"/>
    <col collapsed="false" customWidth="true" hidden="false" outlineLevel="0" max="3" min="3" style="1" width="60"/>
    <col collapsed="false" customWidth="true" hidden="false" outlineLevel="0" max="5" min="4" style="1" width="14"/>
    <col collapsed="false" customWidth="true" hidden="false" outlineLevel="0" max="6" min="6" style="1" width="30"/>
  </cols>
  <sheetData>
    <row r="1" customFormat="false" ht="15" hidden="false" customHeight="true" outlineLevel="0" collapsed="false">
      <c r="A1" s="7" t="s">
        <v>301</v>
      </c>
      <c r="B1" s="7" t="s">
        <v>456</v>
      </c>
      <c r="C1" s="7" t="s">
        <v>457</v>
      </c>
      <c r="D1" s="7" t="s">
        <v>458</v>
      </c>
      <c r="E1" s="7" t="s">
        <v>388</v>
      </c>
      <c r="F1" s="7" t="s">
        <v>306</v>
      </c>
    </row>
    <row r="2" customFormat="false" ht="15" hidden="false" customHeight="true" outlineLevel="0" collapsed="false">
      <c r="A2" s="8" t="s">
        <v>315</v>
      </c>
      <c r="B2" s="8" t="s">
        <v>459</v>
      </c>
      <c r="C2" s="8" t="s">
        <v>460</v>
      </c>
      <c r="D2" s="11" t="s">
        <v>461</v>
      </c>
      <c r="E2" s="8" t="s">
        <v>211</v>
      </c>
      <c r="F2" s="10"/>
    </row>
    <row r="3" customFormat="false" ht="15" hidden="false" customHeight="true" outlineLevel="0" collapsed="false">
      <c r="A3" s="8" t="s">
        <v>315</v>
      </c>
      <c r="B3" s="8" t="s">
        <v>462</v>
      </c>
      <c r="C3" s="8" t="s">
        <v>463</v>
      </c>
      <c r="D3" s="9" t="s">
        <v>464</v>
      </c>
      <c r="E3" s="8" t="s">
        <v>46</v>
      </c>
      <c r="F3" s="10"/>
    </row>
    <row r="4" customFormat="false" ht="15" hidden="false" customHeight="true" outlineLevel="0" collapsed="false">
      <c r="A4" s="8" t="s">
        <v>315</v>
      </c>
      <c r="B4" s="8" t="s">
        <v>465</v>
      </c>
      <c r="C4" s="8" t="s">
        <v>466</v>
      </c>
      <c r="D4" s="12" t="s">
        <v>16</v>
      </c>
      <c r="E4" s="8" t="s">
        <v>328</v>
      </c>
      <c r="F4" s="10"/>
    </row>
    <row r="5" customFormat="false" ht="15" hidden="false" customHeight="true" outlineLevel="0" collapsed="false">
      <c r="A5" s="8" t="s">
        <v>315</v>
      </c>
      <c r="B5" s="8" t="s">
        <v>467</v>
      </c>
      <c r="C5" s="8" t="s">
        <v>468</v>
      </c>
      <c r="D5" s="11" t="s">
        <v>461</v>
      </c>
      <c r="E5" s="8" t="s">
        <v>122</v>
      </c>
      <c r="F5" s="10"/>
    </row>
    <row r="6" customFormat="false" ht="15" hidden="false" customHeight="true" outlineLevel="0" collapsed="false">
      <c r="A6" s="8" t="s">
        <v>315</v>
      </c>
      <c r="B6" s="8" t="s">
        <v>469</v>
      </c>
      <c r="C6" s="8" t="s">
        <v>470</v>
      </c>
      <c r="D6" s="11" t="s">
        <v>461</v>
      </c>
      <c r="E6" s="8" t="s">
        <v>130</v>
      </c>
      <c r="F6" s="10"/>
    </row>
    <row r="7" customFormat="false" ht="23.25" hidden="false" customHeight="true" outlineLevel="0" collapsed="false">
      <c r="A7" s="8" t="s">
        <v>315</v>
      </c>
      <c r="B7" s="8" t="s">
        <v>471</v>
      </c>
      <c r="C7" s="8" t="s">
        <v>472</v>
      </c>
      <c r="D7" s="19" t="s">
        <v>473</v>
      </c>
      <c r="E7" s="8" t="s">
        <v>328</v>
      </c>
      <c r="F7" s="10"/>
    </row>
    <row r="8" customFormat="false" ht="23.25" hidden="false" customHeight="true" outlineLevel="0" collapsed="false">
      <c r="A8" s="8" t="s">
        <v>329</v>
      </c>
      <c r="B8" s="8" t="s">
        <v>474</v>
      </c>
      <c r="C8" s="8" t="s">
        <v>475</v>
      </c>
      <c r="D8" s="11" t="s">
        <v>461</v>
      </c>
      <c r="E8" s="8" t="s">
        <v>155</v>
      </c>
      <c r="F8" s="10"/>
    </row>
    <row r="9" customFormat="false" ht="15" hidden="false" customHeight="true" outlineLevel="0" collapsed="false">
      <c r="A9" s="8" t="s">
        <v>329</v>
      </c>
      <c r="B9" s="8" t="s">
        <v>476</v>
      </c>
      <c r="C9" s="8" t="s">
        <v>477</v>
      </c>
      <c r="D9" s="11" t="s">
        <v>461</v>
      </c>
      <c r="E9" s="8" t="s">
        <v>130</v>
      </c>
      <c r="F9" s="10"/>
    </row>
    <row r="10" customFormat="false" ht="23.25" hidden="false" customHeight="true" outlineLevel="0" collapsed="false">
      <c r="A10" s="8" t="s">
        <v>329</v>
      </c>
      <c r="B10" s="8" t="s">
        <v>471</v>
      </c>
      <c r="C10" s="8" t="s">
        <v>478</v>
      </c>
      <c r="D10" s="19" t="s">
        <v>473</v>
      </c>
      <c r="E10" s="8" t="s">
        <v>328</v>
      </c>
      <c r="F10" s="10"/>
    </row>
    <row r="11" customFormat="false" ht="23.25" hidden="false" customHeight="true" outlineLevel="0" collapsed="false">
      <c r="A11" s="8" t="s">
        <v>335</v>
      </c>
      <c r="B11" s="8" t="s">
        <v>479</v>
      </c>
      <c r="C11" s="8" t="s">
        <v>480</v>
      </c>
      <c r="D11" s="11" t="s">
        <v>461</v>
      </c>
      <c r="E11" s="8" t="s">
        <v>337</v>
      </c>
      <c r="F11" s="10"/>
    </row>
    <row r="12" customFormat="false" ht="23.25" hidden="false" customHeight="true" outlineLevel="0" collapsed="false">
      <c r="A12" s="8" t="s">
        <v>335</v>
      </c>
      <c r="B12" s="8" t="s">
        <v>481</v>
      </c>
      <c r="C12" s="8" t="s">
        <v>482</v>
      </c>
      <c r="D12" s="11" t="s">
        <v>461</v>
      </c>
      <c r="E12" s="8" t="s">
        <v>97</v>
      </c>
      <c r="F12" s="10"/>
    </row>
    <row r="13" customFormat="false" ht="15" hidden="false" customHeight="true" outlineLevel="0" collapsed="false">
      <c r="A13" s="8" t="s">
        <v>335</v>
      </c>
      <c r="B13" s="8" t="s">
        <v>483</v>
      </c>
      <c r="C13" s="8" t="s">
        <v>484</v>
      </c>
      <c r="D13" s="11" t="s">
        <v>461</v>
      </c>
      <c r="E13" s="8" t="s">
        <v>328</v>
      </c>
      <c r="F13" s="10"/>
    </row>
    <row r="14" customFormat="false" ht="15" hidden="false" customHeight="true" outlineLevel="0" collapsed="false">
      <c r="A14" s="8" t="s">
        <v>338</v>
      </c>
      <c r="B14" s="8" t="s">
        <v>485</v>
      </c>
      <c r="C14" s="8" t="s">
        <v>486</v>
      </c>
      <c r="D14" s="9" t="s">
        <v>464</v>
      </c>
      <c r="E14" s="8" t="s">
        <v>114</v>
      </c>
      <c r="F14" s="10"/>
    </row>
    <row r="15" customFormat="false" ht="15" hidden="false" customHeight="true" outlineLevel="0" collapsed="false">
      <c r="A15" s="8" t="s">
        <v>331</v>
      </c>
      <c r="B15" s="8" t="s">
        <v>487</v>
      </c>
      <c r="C15" s="8" t="s">
        <v>488</v>
      </c>
      <c r="D15" s="12" t="s">
        <v>16</v>
      </c>
      <c r="E15" s="8" t="s">
        <v>171</v>
      </c>
      <c r="F15" s="10"/>
    </row>
    <row r="16" customFormat="false" ht="15" hidden="false" customHeight="true" outlineLevel="0" collapsed="false">
      <c r="A16" s="8" t="s">
        <v>331</v>
      </c>
      <c r="B16" s="8" t="s">
        <v>471</v>
      </c>
      <c r="C16" s="8" t="s">
        <v>489</v>
      </c>
      <c r="D16" s="19" t="s">
        <v>473</v>
      </c>
      <c r="E16" s="8" t="s">
        <v>171</v>
      </c>
      <c r="F16" s="10"/>
    </row>
    <row r="17" customFormat="false" ht="23.25" hidden="false" customHeight="true" outlineLevel="0" collapsed="false">
      <c r="A17" s="8" t="s">
        <v>333</v>
      </c>
      <c r="B17" s="8" t="s">
        <v>490</v>
      </c>
      <c r="C17" s="8" t="s">
        <v>491</v>
      </c>
      <c r="D17" s="11" t="s">
        <v>461</v>
      </c>
      <c r="E17" s="8" t="s">
        <v>163</v>
      </c>
      <c r="F17" s="10"/>
    </row>
    <row r="18" customFormat="false" ht="15" hidden="false" customHeight="true" outlineLevel="0" collapsed="false">
      <c r="A18" s="8" t="s">
        <v>349</v>
      </c>
      <c r="B18" s="8" t="s">
        <v>492</v>
      </c>
      <c r="C18" s="8" t="s">
        <v>493</v>
      </c>
      <c r="D18" s="11" t="s">
        <v>461</v>
      </c>
      <c r="E18" s="8" t="s">
        <v>179</v>
      </c>
      <c r="F18" s="10"/>
    </row>
    <row r="19" customFormat="false" ht="15" hidden="false" customHeight="true" outlineLevel="0" collapsed="false">
      <c r="A19" s="8" t="s">
        <v>351</v>
      </c>
      <c r="B19" s="8" t="s">
        <v>494</v>
      </c>
      <c r="C19" s="8" t="s">
        <v>495</v>
      </c>
      <c r="D19" s="11" t="s">
        <v>461</v>
      </c>
      <c r="E19" s="8" t="s">
        <v>106</v>
      </c>
      <c r="F19" s="10"/>
    </row>
    <row r="20" customFormat="false" ht="23.25" hidden="false" customHeight="true" outlineLevel="0" collapsed="false">
      <c r="A20" s="8" t="s">
        <v>351</v>
      </c>
      <c r="B20" s="8" t="s">
        <v>496</v>
      </c>
      <c r="C20" s="8" t="s">
        <v>497</v>
      </c>
      <c r="D20" s="11" t="s">
        <v>461</v>
      </c>
      <c r="E20" s="8" t="s">
        <v>130</v>
      </c>
      <c r="F20" s="10"/>
    </row>
    <row r="21" customFormat="false" ht="15" hidden="false" customHeight="true" outlineLevel="0" collapsed="false">
      <c r="A21" s="8" t="s">
        <v>353</v>
      </c>
      <c r="B21" s="8" t="s">
        <v>498</v>
      </c>
      <c r="C21" s="8" t="s">
        <v>499</v>
      </c>
      <c r="D21" s="20" t="s">
        <v>500</v>
      </c>
      <c r="E21" s="8" t="s">
        <v>186</v>
      </c>
      <c r="F21" s="10"/>
    </row>
    <row r="22" customFormat="false" ht="23.25" hidden="false" customHeight="true" outlineLevel="0" collapsed="false">
      <c r="A22" s="8" t="s">
        <v>375</v>
      </c>
      <c r="B22" s="8" t="s">
        <v>501</v>
      </c>
      <c r="C22" s="8" t="s">
        <v>502</v>
      </c>
      <c r="D22" s="20" t="s">
        <v>500</v>
      </c>
      <c r="E22" s="8" t="s">
        <v>195</v>
      </c>
      <c r="F22" s="10"/>
    </row>
    <row r="23" customFormat="false" ht="15" hidden="false" customHeight="true" outlineLevel="0" collapsed="false">
      <c r="A23" s="8" t="s">
        <v>503</v>
      </c>
      <c r="B23" s="8" t="s">
        <v>504</v>
      </c>
      <c r="C23" s="8" t="s">
        <v>505</v>
      </c>
      <c r="D23" s="19" t="s">
        <v>473</v>
      </c>
      <c r="E23" s="8" t="s">
        <v>227</v>
      </c>
      <c r="F23" s="10"/>
    </row>
  </sheetData>
  <autoFilter ref="A1:F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2026-09-25T17:14:34Z</dcterms:created>
  <dc:creator>openpyxl</dc:creator>
  <dc:description/>
  <dc:language>en-US</dc:language>
  <cp:lastModifiedBy/>
  <dcterms:modified xsi:type="dcterms:W3CDTF">2026-09-25T17:57:33Z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