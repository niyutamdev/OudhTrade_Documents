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reens" sheetId="2" state="visible" r:id="rId4"/>
    <sheet name="Patterns" sheetId="3" state="visible" r:id="rId5"/>
    <sheet name="New components" sheetId="4" state="visible" r:id="rId6"/>
    <sheet name="Open questions" sheetId="5" state="visible" r:id="rId7"/>
  </sheets>
  <definedNames>
    <definedName function="false" hidden="true" localSheetId="3" name="_xlnm._FilterDatabase" vbProcedure="false">'New components'!$A$1:$E$13</definedName>
    <definedName function="false" hidden="true" localSheetId="4" name="_xlnm._FilterDatabase" vbProcedure="false">'Open questions'!$A$1:$E$9</definedName>
    <definedName function="false" hidden="true" localSheetId="2" name="_xlnm._FilterDatabase" vbProcedure="false">Patterns!$A$1:$G$7</definedName>
    <definedName function="false" hidden="true" localSheetId="1" name="_xlnm._FilterDatabase" vbProcedure="false">Screens!$A$1:$L$26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<sst xmlns="http://schemas.openxmlformats.org/spreadsheetml/2006/main" count="385" uniqueCount="246">
  <si>
    <t xml:space="preserve">OudhTrade — Admin screens design tracker (onboarding)</t>
  </si>
  <si>
    <t xml:space="preserve">Companion to "Admin UX Design Brief — Onboarding". Counts below update from the other sheets.</t>
  </si>
  <si>
    <t xml:space="preserve">Screens by design status</t>
  </si>
  <si>
    <t xml:space="preserve">Status</t>
  </si>
  <si>
    <t xml:space="preserve">Screens</t>
  </si>
  <si>
    <t xml:space="preserve">Share</t>
  </si>
  <si>
    <t xml:space="preserve">To design</t>
  </si>
  <si>
    <t xml:space="preserve">In progress</t>
  </si>
  <si>
    <t xml:space="preserve">In review</t>
  </si>
  <si>
    <t xml:space="preserve">Done</t>
  </si>
  <si>
    <t xml:space="preserve">Total</t>
  </si>
  <si>
    <t xml:space="preserve">Screens by pattern</t>
  </si>
  <si>
    <t xml:space="preserve">Pattern</t>
  </si>
  <si>
    <t xml:space="preserve">P1 Queue + case review</t>
  </si>
  <si>
    <t xml:space="preserve">P2 Settings editor</t>
  </si>
  <si>
    <t xml:space="preserve">P3 List management</t>
  </si>
  <si>
    <t xml:space="preserve">P4 Look-up</t>
  </si>
  <si>
    <t xml:space="preserve">Screens by priority (P1 = design first)</t>
  </si>
  <si>
    <t xml:space="preserve">Priority</t>
  </si>
  <si>
    <t xml:space="preserve">P1</t>
  </si>
  <si>
    <t xml:space="preserve">P2</t>
  </si>
  <si>
    <t xml:space="preserve">P3</t>
  </si>
  <si>
    <t xml:space="preserve">Other progress</t>
  </si>
  <si>
    <t xml:space="preserve">Item</t>
  </si>
  <si>
    <t xml:space="preserve">Of</t>
  </si>
  <si>
    <t xml:space="preserve">Patterns and shell done</t>
  </si>
  <si>
    <t xml:space="preserve">New components done</t>
  </si>
  <si>
    <t xml:space="preserve">Open questions answered</t>
  </si>
  <si>
    <t xml:space="preserve">Legend</t>
  </si>
  <si>
    <t xml:space="preserve">Yellow cells</t>
  </si>
  <si>
    <t xml:space="preserve">Inputs for the designer and product owner: Screens — Design status, Figma link, Designer notes, Product owner notes, Due date; Patterns — Status, Designer notes; New components — Status, Figma link; Open questions — Answer, Answered on.</t>
  </si>
  <si>
    <t xml:space="preserve">Design status</t>
  </si>
  <si>
    <t xml:space="preserve">Pick from the list: To design · In progress · In review · Done.</t>
  </si>
  <si>
    <t xml:space="preserve">Suggested design order (P1 first). Release labels are planning hints only.</t>
  </si>
  <si>
    <t xml:space="preserve">Brief section</t>
  </si>
  <si>
    <t xml:space="preserve">Section of the Word brief with the screen page (for example "6 · AD-01").</t>
  </si>
  <si>
    <t xml:space="preserve">ID</t>
  </si>
  <si>
    <t xml:space="preserve">Screen</t>
  </si>
  <si>
    <t xml:space="preserve">Users</t>
  </si>
  <si>
    <t xml:space="preserve">Spec section</t>
  </si>
  <si>
    <t xml:space="preserve">Figma link</t>
  </si>
  <si>
    <t xml:space="preserve">Designer notes</t>
  </si>
  <si>
    <t xml:space="preserve">Product owner notes</t>
  </si>
  <si>
    <t xml:space="preserve">Due date</t>
  </si>
  <si>
    <t xml:space="preserve">AD-01</t>
  </si>
  <si>
    <t xml:space="preserve">A — Verification review</t>
  </si>
  <si>
    <t xml:space="preserve">Moderator (Senior Moderator for escalations)</t>
  </si>
  <si>
    <t xml:space="preserve">M03-6 §16.1</t>
  </si>
  <si>
    <t xml:space="preserve">6 · AD-01</t>
  </si>
  <si>
    <t xml:space="preserve">AD-02</t>
  </si>
  <si>
    <t xml:space="preserve">Video-call ID checks</t>
  </si>
  <si>
    <t xml:space="preserve">Moderator</t>
  </si>
  <si>
    <t xml:space="preserve">M03-6 §16.18</t>
  </si>
  <si>
    <t xml:space="preserve">6 · AD-02</t>
  </si>
  <si>
    <t xml:space="preserve">AD-03</t>
  </si>
  <si>
    <t xml:space="preserve">Sanctions batch and match review</t>
  </si>
  <si>
    <t xml:space="preserve">Senior Moderator</t>
  </si>
  <si>
    <t xml:space="preserve">M03-6 §16.13</t>
  </si>
  <si>
    <t xml:space="preserve">6 · AD-03</t>
  </si>
  <si>
    <t xml:space="preserve">AD-04</t>
  </si>
  <si>
    <t xml:space="preserve">B — Role change decision</t>
  </si>
  <si>
    <t xml:space="preserve">Admin, Super Admin</t>
  </si>
  <si>
    <t xml:space="preserve">M03-6 §16.3</t>
  </si>
  <si>
    <t xml:space="preserve">6 · AD-04</t>
  </si>
  <si>
    <t xml:space="preserve">AD-05</t>
  </si>
  <si>
    <t xml:space="preserve">C — Farm visit review</t>
  </si>
  <si>
    <t xml:space="preserve">M03-6 §16.4</t>
  </si>
  <si>
    <t xml:space="preserve">6 · AD-05</t>
  </si>
  <si>
    <t xml:space="preserve">AD-06</t>
  </si>
  <si>
    <t xml:space="preserve">Recovery and number-reclaim review</t>
  </si>
  <si>
    <t xml:space="preserve">Admin, Super Admin (Support: open, note)</t>
  </si>
  <si>
    <t xml:space="preserve">M02-6 §20.2</t>
  </si>
  <si>
    <t xml:space="preserve">6 · AD-06</t>
  </si>
  <si>
    <t xml:space="preserve">AD-07</t>
  </si>
  <si>
    <t xml:space="preserve">Staff-awarded badge applications</t>
  </si>
  <si>
    <t xml:space="preserve">Moderator decides; Admin views holders</t>
  </si>
  <si>
    <t xml:space="preserve">M03-6 §16.6</t>
  </si>
  <si>
    <t xml:space="preserve">6 · AD-07</t>
  </si>
  <si>
    <t xml:space="preserve">AD-08</t>
  </si>
  <si>
    <t xml:space="preserve">Lab accreditation review</t>
  </si>
  <si>
    <t xml:space="preserve">M03-6 §16.19</t>
  </si>
  <si>
    <t xml:space="preserve">6 · AD-08</t>
  </si>
  <si>
    <t xml:space="preserve">AD-09</t>
  </si>
  <si>
    <t xml:space="preserve">Partner programme review</t>
  </si>
  <si>
    <t xml:space="preserve">Admin</t>
  </si>
  <si>
    <t xml:space="preserve">M03-6 §16.20</t>
  </si>
  <si>
    <t xml:space="preserve">6 · AD-09</t>
  </si>
  <si>
    <t xml:space="preserve">AD-10</t>
  </si>
  <si>
    <t xml:space="preserve">E1 — Document checklists</t>
  </si>
  <si>
    <t xml:space="preserve">Admin draft, Super Admin approve (high impact)</t>
  </si>
  <si>
    <t xml:space="preserve">M03-6 §16.7</t>
  </si>
  <si>
    <t xml:space="preserve">6 · AD-10</t>
  </si>
  <si>
    <t xml:space="preserve">AD-11</t>
  </si>
  <si>
    <t xml:space="preserve">E2 — Business ID rules per country</t>
  </si>
  <si>
    <t xml:space="preserve">M03-6 §16.8</t>
  </si>
  <si>
    <t xml:space="preserve">6 · AD-11</t>
  </si>
  <si>
    <t xml:space="preserve">AD-12</t>
  </si>
  <si>
    <t xml:space="preserve">E3 — Rejection reasons</t>
  </si>
  <si>
    <t xml:space="preserve">Admin draft, other Admin approve</t>
  </si>
  <si>
    <t xml:space="preserve">M03-6 §16.9</t>
  </si>
  <si>
    <t xml:space="preserve">6 · AD-12</t>
  </si>
  <si>
    <t xml:space="preserve">AD-13</t>
  </si>
  <si>
    <t xml:space="preserve">E4 — Setup card items per role</t>
  </si>
  <si>
    <t xml:space="preserve">M03-6 §16.10</t>
  </si>
  <si>
    <t xml:space="preserve">6 · AD-13</t>
  </si>
  <si>
    <t xml:space="preserve">AD-14</t>
  </si>
  <si>
    <t xml:space="preserve">E5 — Role change paths and capability bands</t>
  </si>
  <si>
    <t xml:space="preserve">Paths: Super Admin approve; bands: other Admin approve</t>
  </si>
  <si>
    <t xml:space="preserve">M03-6 §16.11</t>
  </si>
  <si>
    <t xml:space="preserve">6 · AD-14</t>
  </si>
  <si>
    <t xml:space="preserve">AD-15</t>
  </si>
  <si>
    <t xml:space="preserve">E6 — Badge types</t>
  </si>
  <si>
    <t xml:space="preserve">M03-6 §16.12</t>
  </si>
  <si>
    <t xml:space="preserve">6 · AD-15</t>
  </si>
  <si>
    <t xml:space="preserve">AD-16</t>
  </si>
  <si>
    <t xml:space="preserve">Country table</t>
  </si>
  <si>
    <t xml:space="preserve">Admin draft, Super Admin approve (high-impact fields)</t>
  </si>
  <si>
    <t xml:space="preserve">M01-6 §12.4</t>
  </si>
  <si>
    <t xml:space="preserve">6 · AD-16</t>
  </si>
  <si>
    <t xml:space="preserve">AD-17</t>
  </si>
  <si>
    <t xml:space="preserve">Throw-away email domain list</t>
  </si>
  <si>
    <t xml:space="preserve">M02-6 §20.7</t>
  </si>
  <si>
    <t xml:space="preserve">6 · AD-17</t>
  </si>
  <si>
    <t xml:space="preserve">AD-18</t>
  </si>
  <si>
    <t xml:space="preserve">Changes / approvals</t>
  </si>
  <si>
    <t xml:space="preserve">Super Admin, Admin (Finance: own drafts)</t>
  </si>
  <si>
    <t xml:space="preserve">M01-6 §12.1</t>
  </si>
  <si>
    <t xml:space="preserve">6 · AD-18</t>
  </si>
  <si>
    <t xml:space="preserve">AD-19</t>
  </si>
  <si>
    <t xml:space="preserve">Invitations admin</t>
  </si>
  <si>
    <t xml:space="preserve">M02-6 §20.3</t>
  </si>
  <si>
    <t xml:space="preserve">6 · AD-19</t>
  </si>
  <si>
    <t xml:space="preserve">AD-20</t>
  </si>
  <si>
    <t xml:space="preserve">Field agents</t>
  </si>
  <si>
    <t xml:space="preserve">M03-6 §16.16</t>
  </si>
  <si>
    <t xml:space="preserve">6 · AD-20</t>
  </si>
  <si>
    <t xml:space="preserve">AD-21</t>
  </si>
  <si>
    <t xml:space="preserve">Delegations overview</t>
  </si>
  <si>
    <t xml:space="preserve">M02-6 §20.4</t>
  </si>
  <si>
    <t xml:space="preserve">6 · AD-21</t>
  </si>
  <si>
    <t xml:space="preserve">AD-22</t>
  </si>
  <si>
    <t xml:space="preserve">Farm-visit queue by district</t>
  </si>
  <si>
    <t xml:space="preserve">Moderator, Admin</t>
  </si>
  <si>
    <t xml:space="preserve">M03-6 §16.17</t>
  </si>
  <si>
    <t xml:space="preserve">6 · AD-22</t>
  </si>
  <si>
    <t xml:space="preserve">AD-23</t>
  </si>
  <si>
    <t xml:space="preserve">Agent and FPO quality re-checks</t>
  </si>
  <si>
    <t xml:space="preserve">M03-6 §16.15</t>
  </si>
  <si>
    <t xml:space="preserve">6 · AD-23</t>
  </si>
  <si>
    <t xml:space="preserve">AD-24</t>
  </si>
  <si>
    <t xml:space="preserve">Account lookup</t>
  </si>
  <si>
    <t xml:space="preserve">P4</t>
  </si>
  <si>
    <t xml:space="preserve">Super Admin, Admin, Moderator, Support (read-only)</t>
  </si>
  <si>
    <t xml:space="preserve">M02-6 §20.1</t>
  </si>
  <si>
    <t xml:space="preserve">6 · AD-24</t>
  </si>
  <si>
    <t xml:space="preserve">AD-25</t>
  </si>
  <si>
    <t xml:space="preserve">Support profile and case view</t>
  </si>
  <si>
    <t xml:space="preserve">Support (read-only)</t>
  </si>
  <si>
    <t xml:space="preserve">M03-6 §16.21</t>
  </si>
  <si>
    <t xml:space="preserve">6 · AD-25</t>
  </si>
  <si>
    <t xml:space="preserve">Parts to design</t>
  </si>
  <si>
    <t xml:space="preserve">Used by</t>
  </si>
  <si>
    <t xml:space="preserve">Shell</t>
  </si>
  <si>
    <t xml:space="preserve">Admin console shell</t>
  </si>
  <si>
    <t xml:space="preserve">Top bar (search, queue counts, environment label, profile) · left menu in five groups · page header · 1440 frame</t>
  </si>
  <si>
    <t xml:space="preserve">All screens</t>
  </si>
  <si>
    <t xml:space="preserve">3</t>
  </si>
  <si>
    <t xml:space="preserve">Queue + case review</t>
  </si>
  <si>
    <t xml:space="preserve">Queue table (columns, filters, tabs, due-time countdown, flags, fast lane first) · case view (summary header, tabs, documents, history, internal notes) · secure document viewer (watermark, zoom, rotate, page list, "Every view is logged") · decision bar (accept / reject per document with reason and message preview, ask a question, hold, decide) · reason dialog · edit-conflict banner</t>
  </si>
  <si>
    <t xml:space="preserve">AD-01, AD-02, AD-03, AD-04, AD-05, AD-06, AD-07, AD-08, AD-09</t>
  </si>
  <si>
    <t xml:space="preserve">4.1</t>
  </si>
  <si>
    <t xml:space="preserve">Settings editor</t>
  </si>
  <si>
    <t xml:space="preserve">List with status chips · draft edit with checks as you type · Preview impact · Send for approval (reason) · two-level approval · Publish now / Schedule · History · Roll back · "High impact" chip · edit-conflict banner</t>
  </si>
  <si>
    <t xml:space="preserve">AD-10, AD-11, AD-12, AD-13, AD-14, AD-15, AD-16, AD-17, AD-18</t>
  </si>
  <si>
    <t xml:space="preserve">4.2</t>
  </si>
  <si>
    <t xml:space="preserve">List management</t>
  </si>
  <si>
    <t xml:space="preserve">Table with filters, search and tabs · add / edit side panel · status chips · end / revoke / suspend with reason · bulk upload with preview where relevant</t>
  </si>
  <si>
    <t xml:space="preserve">AD-19, AD-20, AD-21, AD-22, AD-23</t>
  </si>
  <si>
    <t xml:space="preserve">4.3</t>
  </si>
  <si>
    <t xml:space="preserve">Look-up</t>
  </si>
  <si>
    <t xml:space="preserve">One search box · result rows with masked contacts · reason dialog before opening · read-only summary with tabs · "Your view is logged" banner · masked value with Show (reason, 60 s, logged) where allowed</t>
  </si>
  <si>
    <t xml:space="preserve">AD-24, AD-25</t>
  </si>
  <si>
    <t xml:space="preserve">4.4</t>
  </si>
  <si>
    <t xml:space="preserve">States</t>
  </si>
  <si>
    <t xml:space="preserve">Common states</t>
  </si>
  <si>
    <t xml:space="preserve">Loading · empty · not allowed · validation error · server error · load error · edit conflict · reason dialog</t>
  </si>
  <si>
    <t xml:space="preserve">4.5</t>
  </si>
  <si>
    <t xml:space="preserve">Component</t>
  </si>
  <si>
    <t xml:space="preserve">What it does</t>
  </si>
  <si>
    <t xml:space="preserve">Queue table row</t>
  </si>
  <si>
    <t xml:space="preserve">AD-01–AD-09, AD-22, AD-23</t>
  </si>
  <si>
    <t xml:space="preserve">Compact row with flags, fast-lane mark, due-time countdown and status chip</t>
  </si>
  <si>
    <t xml:space="preserve">Due-time countdown</t>
  </si>
  <si>
    <t xml:space="preserve">AD-01–AD-09, AD-19, AD-22</t>
  </si>
  <si>
    <t xml:space="preserve">"Due in {h} h" / "Overdue" with icon and words; turns red at 80 % of the target</t>
  </si>
  <si>
    <t xml:space="preserve">Document viewer</t>
  </si>
  <si>
    <t xml:space="preserve">AD-01, AD-02, AD-04–AD-08</t>
  </si>
  <si>
    <t xml:space="preserve">Watermark with reviewer name, time and case number; zoom, rotate, page list; "Every view is logged"</t>
  </si>
  <si>
    <t xml:space="preserve">Decision bar</t>
  </si>
  <si>
    <t xml:space="preserve">AD-01–AD-09</t>
  </si>
  <si>
    <t xml:space="preserve">Sticky bar at the bottom of a case; buttons change per screen</t>
  </si>
  <si>
    <t xml:space="preserve">Reason dialog</t>
  </si>
  <si>
    <t xml:space="preserve">Reason list and/or text (at least 10 characters); names the action and who is told</t>
  </si>
  <si>
    <t xml:space="preserve">Approval bar</t>
  </si>
  <si>
    <t xml:space="preserve">AD-10–AD-18</t>
  </si>
  <si>
    <t xml:space="preserve">Status chip, "High impact" chip, Send for approval / Approve / Reject / Publish / Schedule</t>
  </si>
  <si>
    <t xml:space="preserve">Diff / preview panel</t>
  </si>
  <si>
    <t xml:space="preserve">Old → new values marked "Added", "Changed", "Retired" with icon and word; counts; example</t>
  </si>
  <si>
    <t xml:space="preserve">Version history list</t>
  </si>
  <si>
    <t xml:space="preserve">Version, status, editor, approver, date, reason; Compare; Roll back to this version</t>
  </si>
  <si>
    <t xml:space="preserve">Masked value with Show</t>
  </si>
  <si>
    <t xml:space="preserve">AD-06, AD-19, AD-21, AD-24</t>
  </si>
  <si>
    <t xml:space="preserve">Masked phone or email; Show (where allowed) asks a reason, shows 60 s, is logged</t>
  </si>
  <si>
    <t xml:space="preserve">Checklist ticks</t>
  </si>
  <si>
    <t xml:space="preserve">AD-02, AD-05, AD-06, AD-08</t>
  </si>
  <si>
    <t xml:space="preserve">Required ticks that unlock the decision button</t>
  </si>
  <si>
    <t xml:space="preserve">Photo location panel</t>
  </si>
  <si>
    <t xml:space="preserve">AD-01, AD-05</t>
  </si>
  <si>
    <t xml:space="preserve">Reason first; small map, coordinates, distance; "This view is recorded with your reason."</t>
  </si>
  <si>
    <t xml:space="preserve">Read-only banner</t>
  </si>
  <si>
    <t xml:space="preserve">"Read-only · Your view is logged" / "Your view is logged"</t>
  </si>
  <si>
    <t xml:space="preserve">#</t>
  </si>
  <si>
    <t xml:space="preserve">Question</t>
  </si>
  <si>
    <t xml:space="preserve">Owner</t>
  </si>
  <si>
    <t xml:space="preserve">Answer</t>
  </si>
  <si>
    <t xml:space="preserve">Answered on</t>
  </si>
  <si>
    <t xml:space="preserve">Dark mode for staff screens? The UX-UI Foundation (U8) says no dark mode in V1; confirm this also applies to the admin console.</t>
  </si>
  <si>
    <t xml:space="preserve">Product owner</t>
  </si>
  <si>
    <t xml:space="preserve">Decided 26 Sep: light mode only for the console.</t>
  </si>
  <si>
    <t xml:space="preserve">26 Sep 2026</t>
  </si>
  <si>
    <t xml:space="preserve">Table density: compact rows by default with a "comfortable" switch, or compact only?</t>
  </si>
  <si>
    <t xml:space="preserve">Designer + product owner</t>
  </si>
  <si>
    <t xml:space="preserve">Decided 26 Sep: compact tables by default (no switch).</t>
  </si>
  <si>
    <t xml:space="preserve">Can one farmer be a member of several FPOs at the same time? (open product question; affects S15, AD-19 and AD-23)</t>
  </si>
  <si>
    <t xml:space="preserve">Decided 26 Sep: yes, several FPOs allowed; each link is confirmed separately; any one confirmed link gives Verified farmer.</t>
  </si>
  <si>
    <t xml:space="preserve">Final list of keyboard shortcuts for queues (proposal in Section 3.3).</t>
  </si>
  <si>
    <t xml:space="preserve">Designer + tech lead</t>
  </si>
  <si>
    <t xml:space="preserve">Video-call ID check: is the video shown inside the case view or in the supplier’s own window next to it? (supplier not chosen yet)</t>
  </si>
  <si>
    <t xml:space="preserve">Product owner + tech lead</t>
  </si>
  <si>
    <t xml:space="preserve">Staff-awarded badge applications: the brief listed "Admin" as the user, but M03-6 §16.6 says a Moderator decides them on screen A. This brief follows M03-6. Confirm.</t>
  </si>
  <si>
    <t xml:space="preserve">Decided 26 Sep: a Moderator decides (AD-01 Badge applications tab); Admin only creates badge types (AD-15).</t>
  </si>
  <si>
    <t xml:space="preserve">Settings editors are built in the Configuration Console (M16) and staff screens in the Operations Console (M15). This brief assumes one shared shell look with the Settings menu group. Confirm.</t>
  </si>
  <si>
    <t xml:space="preserve">Product owner + designer</t>
  </si>
  <si>
    <t xml:space="preserve">Decided 26 Sep: one shared console shell; Settings is a menu group.</t>
  </si>
  <si>
    <t xml:space="preserve">Should each Moderator have a personal queue ("Assigned to me") and can cases be assigned, or does everyone pick from one shared queue?</t>
  </si>
  <si>
    <t xml:space="preserve">Decided 26 Sep: one shared queue (fast lane first, then due time); a Moderator can pick a case ("Assigned to me"); a Senior Moderator can assign cases to others.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</si>
</sst>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dd\ mmm\ 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A5A1E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A5A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E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COUNTIF(Screens!$H$2:$H$26,"To design")</f>
        <v>25</v>
      </c>
      <c r="C6" s="6" t="n">
        <f aca="false">IF(COUNTA(Screens!$A$2:$A$26)=0,0,B6/COUNTA(Screens!$A$2:$A$26))</f>
        <v>1</v>
      </c>
    </row>
    <row r="7" customFormat="false" ht="15" hidden="false" customHeight="false" outlineLevel="0" collapsed="false">
      <c r="A7" s="5" t="s">
        <v>7</v>
      </c>
      <c r="B7" s="5" t="n">
        <f aca="false">COUNTIF(Screens!$H$2:$H$26,"In progress")</f>
        <v>0</v>
      </c>
      <c r="C7" s="6" t="n">
        <f aca="false">IF(COUNTA(Screens!$A$2:$A$26)=0,0,B7/COUNTA(Screens!$A$2:$A$26))</f>
        <v>0</v>
      </c>
    </row>
    <row r="8" customFormat="false" ht="15" hidden="false" customHeight="false" outlineLevel="0" collapsed="false">
      <c r="A8" s="5" t="s">
        <v>8</v>
      </c>
      <c r="B8" s="5" t="n">
        <f aca="false">COUNTIF(Screens!$H$2:$H$26,"In review")</f>
        <v>0</v>
      </c>
      <c r="C8" s="6" t="n">
        <f aca="false">IF(COUNTA(Screens!$A$2:$A$26)=0,0,B8/COUNTA(Screens!$A$2:$A$26))</f>
        <v>0</v>
      </c>
    </row>
    <row r="9" customFormat="false" ht="15" hidden="false" customHeight="false" outlineLevel="0" collapsed="false">
      <c r="A9" s="5" t="s">
        <v>9</v>
      </c>
      <c r="B9" s="5" t="n">
        <f aca="false">COUNTIF(Screens!$H$2:$H$26,"Done")</f>
        <v>0</v>
      </c>
      <c r="C9" s="6" t="n">
        <f aca="false">IF(COUNTA(Screens!$A$2:$A$26)=0,0,B9/COUNTA(Screens!$A$2:$A$26))</f>
        <v>0</v>
      </c>
    </row>
    <row r="10" customFormat="false" ht="15" hidden="false" customHeight="false" outlineLevel="0" collapsed="false">
      <c r="A10" s="7" t="s">
        <v>10</v>
      </c>
      <c r="B10" s="7" t="n">
        <f aca="false">SUM(B6:B9)</f>
        <v>25</v>
      </c>
      <c r="C10" s="8" t="n">
        <f aca="false">SUM(C6:C9)</f>
        <v>1</v>
      </c>
    </row>
    <row r="12" customFormat="false" ht="15" hidden="false" customHeight="false" outlineLevel="0" collapsed="false">
      <c r="A12" s="3" t="s">
        <v>11</v>
      </c>
    </row>
    <row r="13" customFormat="false" ht="15" hidden="false" customHeight="false" outlineLevel="0" collapsed="false">
      <c r="A13" s="4" t="s">
        <v>12</v>
      </c>
      <c r="B13" s="4" t="s">
        <v>4</v>
      </c>
      <c r="C13" s="4" t="s">
        <v>9</v>
      </c>
    </row>
    <row r="14" customFormat="false" ht="15" hidden="false" customHeight="false" outlineLevel="0" collapsed="false">
      <c r="A14" s="5" t="s">
        <v>13</v>
      </c>
      <c r="B14" s="5" t="n">
        <f aca="false">COUNTIF(Screens!$C$2:$C$26,"P1")</f>
        <v>9</v>
      </c>
      <c r="C14" s="5" t="n">
        <f aca="false">COUNTIFS(Screens!$C$2:$C$26,"P1",Screens!$H$2:$H$26,"Done")</f>
        <v>0</v>
      </c>
    </row>
    <row r="15" customFormat="false" ht="15" hidden="false" customHeight="false" outlineLevel="0" collapsed="false">
      <c r="A15" s="5" t="s">
        <v>14</v>
      </c>
      <c r="B15" s="5" t="n">
        <f aca="false">COUNTIF(Screens!$C$2:$C$26,"P2")</f>
        <v>9</v>
      </c>
      <c r="C15" s="5" t="n">
        <f aca="false">COUNTIFS(Screens!$C$2:$C$26,"P2",Screens!$H$2:$H$26,"Done")</f>
        <v>0</v>
      </c>
    </row>
    <row r="16" customFormat="false" ht="15" hidden="false" customHeight="false" outlineLevel="0" collapsed="false">
      <c r="A16" s="5" t="s">
        <v>15</v>
      </c>
      <c r="B16" s="5" t="n">
        <f aca="false">COUNTIF(Screens!$C$2:$C$26,"P3")</f>
        <v>5</v>
      </c>
      <c r="C16" s="5" t="n">
        <f aca="false">COUNTIFS(Screens!$C$2:$C$26,"P3",Screens!$H$2:$H$26,"Done")</f>
        <v>0</v>
      </c>
    </row>
    <row r="17" customFormat="false" ht="15" hidden="false" customHeight="false" outlineLevel="0" collapsed="false">
      <c r="A17" s="5" t="s">
        <v>16</v>
      </c>
      <c r="B17" s="5" t="n">
        <f aca="false">COUNTIF(Screens!$C$2:$C$26,"P4")</f>
        <v>2</v>
      </c>
      <c r="C17" s="5" t="n">
        <f aca="false">COUNTIFS(Screens!$C$2:$C$26,"P4",Screens!$H$2:$H$26,"Done")</f>
        <v>0</v>
      </c>
    </row>
    <row r="18" customFormat="false" ht="15" hidden="false" customHeight="false" outlineLevel="0" collapsed="false">
      <c r="A18" s="7" t="s">
        <v>10</v>
      </c>
      <c r="B18" s="7" t="n">
        <f aca="false">SUM(B14:B17)</f>
        <v>25</v>
      </c>
      <c r="C18" s="7" t="n">
        <f aca="false">SUM(C14:C17)</f>
        <v>0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4" t="s">
        <v>18</v>
      </c>
      <c r="B21" s="4" t="s">
        <v>4</v>
      </c>
      <c r="C21" s="4" t="s">
        <v>9</v>
      </c>
    </row>
    <row r="22" customFormat="false" ht="15" hidden="false" customHeight="false" outlineLevel="0" collapsed="false">
      <c r="A22" s="5" t="s">
        <v>19</v>
      </c>
      <c r="B22" s="5" t="n">
        <f aca="false">COUNTIF(Screens!$E$2:$E$26,"P1")</f>
        <v>5</v>
      </c>
      <c r="C22" s="5" t="n">
        <f aca="false">COUNTIFS(Screens!$E$2:$E$26,"P1",Screens!$H$2:$H$26,"Done")</f>
        <v>0</v>
      </c>
    </row>
    <row r="23" customFormat="false" ht="15" hidden="false" customHeight="false" outlineLevel="0" collapsed="false">
      <c r="A23" s="5" t="s">
        <v>20</v>
      </c>
      <c r="B23" s="5" t="n">
        <f aca="false">COUNTIF(Screens!$E$2:$E$26,"P2")</f>
        <v>11</v>
      </c>
      <c r="C23" s="5" t="n">
        <f aca="false">COUNTIFS(Screens!$E$2:$E$26,"P2",Screens!$H$2:$H$26,"Done")</f>
        <v>0</v>
      </c>
    </row>
    <row r="24" customFormat="false" ht="15" hidden="false" customHeight="false" outlineLevel="0" collapsed="false">
      <c r="A24" s="5" t="s">
        <v>21</v>
      </c>
      <c r="B24" s="5" t="n">
        <f aca="false">COUNTIF(Screens!$E$2:$E$26,"P3")</f>
        <v>9</v>
      </c>
      <c r="C24" s="5" t="n">
        <f aca="false">COUNTIFS(Screens!$E$2:$E$26,"P3",Screens!$H$2:$H$26,"Done")</f>
        <v>0</v>
      </c>
    </row>
    <row r="25" customFormat="false" ht="15" hidden="false" customHeight="false" outlineLevel="0" collapsed="false">
      <c r="A25" s="7" t="s">
        <v>10</v>
      </c>
      <c r="B25" s="7" t="n">
        <f aca="false">SUM(B22:B24)</f>
        <v>25</v>
      </c>
      <c r="C25" s="7" t="n">
        <f aca="false">SUM(C22:C24)</f>
        <v>0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4" t="s">
        <v>23</v>
      </c>
      <c r="B28" s="4" t="s">
        <v>9</v>
      </c>
      <c r="C28" s="4" t="s">
        <v>24</v>
      </c>
    </row>
    <row r="29" customFormat="false" ht="15" hidden="false" customHeight="false" outlineLevel="0" collapsed="false">
      <c r="A29" s="5" t="s">
        <v>25</v>
      </c>
      <c r="B29" s="5" t="n">
        <f aca="false">COUNTIF(Patterns!$F$2:$F$7,"Done")</f>
        <v>0</v>
      </c>
      <c r="C29" s="5" t="n">
        <f aca="false">COUNTA(Patterns!$A$2:$A$7)</f>
        <v>6</v>
      </c>
    </row>
    <row r="30" customFormat="false" ht="15" hidden="false" customHeight="false" outlineLevel="0" collapsed="false">
      <c r="A30" s="5" t="s">
        <v>26</v>
      </c>
      <c r="B30" s="5" t="n">
        <f aca="false">COUNTIF('New components'!$D$2:$D$13,"Done")</f>
        <v>0</v>
      </c>
      <c r="C30" s="5" t="n">
        <f aca="false">COUNTA('New components'!$A$2:$A$13)</f>
        <v>12</v>
      </c>
    </row>
    <row r="31" customFormat="false" ht="15" hidden="false" customHeight="false" outlineLevel="0" collapsed="false">
      <c r="A31" s="5" t="s">
        <v>27</v>
      </c>
      <c r="B31" s="5" t="n">
        <f aca="false">COUNTA('Open questions'!$D$2:$D$9)</f>
        <v>6</v>
      </c>
      <c r="C31" s="5" t="n">
        <f aca="false">COUNTA('Open questions'!$A$2:$A$9)</f>
        <v>8</v>
      </c>
    </row>
    <row r="33" customFormat="false" ht="15" hidden="false" customHeight="false" outlineLevel="0" collapsed="false">
      <c r="A33" s="3" t="s">
        <v>28</v>
      </c>
    </row>
    <row r="34" customFormat="false" ht="79.5" hidden="false" customHeight="true" outlineLevel="0" collapsed="false">
      <c r="A34" s="9" t="s">
        <v>29</v>
      </c>
      <c r="B34" s="10" t="s">
        <v>30</v>
      </c>
      <c r="C34" s="10"/>
      <c r="D34" s="10"/>
    </row>
    <row r="35" customFormat="false" ht="30" hidden="false" customHeight="true" outlineLevel="0" collapsed="false">
      <c r="A35" s="3" t="s">
        <v>31</v>
      </c>
      <c r="B35" s="10" t="s">
        <v>32</v>
      </c>
      <c r="C35" s="10"/>
      <c r="D35" s="10"/>
    </row>
    <row r="36" customFormat="false" ht="30" hidden="false" customHeight="true" outlineLevel="0" collapsed="false">
      <c r="A36" s="3" t="s">
        <v>18</v>
      </c>
      <c r="B36" s="10" t="s">
        <v>33</v>
      </c>
      <c r="C36" s="10"/>
      <c r="D36" s="10"/>
    </row>
    <row r="37" customFormat="false" ht="30" hidden="false" customHeight="true" outlineLevel="0" collapsed="false">
      <c r="A37" s="3" t="s">
        <v>34</v>
      </c>
      <c r="B37" s="10" t="s">
        <v>35</v>
      </c>
      <c r="C37" s="10"/>
      <c r="D37" s="10"/>
    </row>
  </sheetData>
  <mergeCells count="4">
    <mergeCell ref="B34:D34"/>
    <mergeCell ref="B35:D35"/>
    <mergeCell ref="B36:D36"/>
    <mergeCell ref="B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2"/>
    <col collapsed="false" customWidth="true" hidden="false" outlineLevel="0" max="11" min="10" style="0" width="36"/>
    <col collapsed="false" customWidth="true" hidden="false" outlineLevel="0" max="12" min="12" style="0" width="13"/>
  </cols>
  <sheetData>
    <row r="1" customFormat="false" ht="26.85" hidden="false" customHeight="false" outlineLevel="0" collapsed="false">
      <c r="A1" s="11" t="s">
        <v>36</v>
      </c>
      <c r="B1" s="11" t="s">
        <v>37</v>
      </c>
      <c r="C1" s="11" t="s">
        <v>12</v>
      </c>
      <c r="D1" s="11" t="s">
        <v>38</v>
      </c>
      <c r="E1" s="11" t="s">
        <v>18</v>
      </c>
      <c r="F1" s="11" t="s">
        <v>39</v>
      </c>
      <c r="G1" s="11" t="s">
        <v>34</v>
      </c>
      <c r="H1" s="11" t="s">
        <v>31</v>
      </c>
      <c r="I1" s="11" t="s">
        <v>40</v>
      </c>
      <c r="J1" s="11" t="s">
        <v>41</v>
      </c>
      <c r="K1" s="11" t="s">
        <v>42</v>
      </c>
      <c r="L1" s="11" t="s">
        <v>43</v>
      </c>
    </row>
    <row r="2" customFormat="false" ht="26.85" hidden="false" customHeight="false" outlineLevel="0" collapsed="false">
      <c r="A2" s="12" t="s">
        <v>44</v>
      </c>
      <c r="B2" s="12" t="s">
        <v>45</v>
      </c>
      <c r="C2" s="12" t="s">
        <v>19</v>
      </c>
      <c r="D2" s="12" t="s">
        <v>46</v>
      </c>
      <c r="E2" s="12" t="s">
        <v>19</v>
      </c>
      <c r="F2" s="12" t="s">
        <v>47</v>
      </c>
      <c r="G2" s="12" t="s">
        <v>48</v>
      </c>
      <c r="H2" s="13" t="s">
        <v>6</v>
      </c>
      <c r="I2" s="13"/>
      <c r="J2" s="13"/>
      <c r="K2" s="13"/>
      <c r="L2" s="14"/>
    </row>
    <row r="3" customFormat="false" ht="15" hidden="false" customHeight="false" outlineLevel="0" collapsed="false">
      <c r="A3" s="12" t="s">
        <v>49</v>
      </c>
      <c r="B3" s="12" t="s">
        <v>50</v>
      </c>
      <c r="C3" s="12" t="s">
        <v>19</v>
      </c>
      <c r="D3" s="12" t="s">
        <v>51</v>
      </c>
      <c r="E3" s="12" t="s">
        <v>20</v>
      </c>
      <c r="F3" s="12" t="s">
        <v>52</v>
      </c>
      <c r="G3" s="12" t="s">
        <v>53</v>
      </c>
      <c r="H3" s="13" t="s">
        <v>6</v>
      </c>
      <c r="I3" s="13"/>
      <c r="J3" s="13"/>
      <c r="K3" s="13"/>
      <c r="L3" s="14"/>
    </row>
    <row r="4" customFormat="false" ht="15" hidden="false" customHeight="false" outlineLevel="0" collapsed="false">
      <c r="A4" s="12" t="s">
        <v>54</v>
      </c>
      <c r="B4" s="12" t="s">
        <v>55</v>
      </c>
      <c r="C4" s="12" t="s">
        <v>19</v>
      </c>
      <c r="D4" s="12" t="s">
        <v>56</v>
      </c>
      <c r="E4" s="12" t="s">
        <v>21</v>
      </c>
      <c r="F4" s="12" t="s">
        <v>57</v>
      </c>
      <c r="G4" s="12" t="s">
        <v>58</v>
      </c>
      <c r="H4" s="13" t="s">
        <v>6</v>
      </c>
      <c r="I4" s="13"/>
      <c r="J4" s="13"/>
      <c r="K4" s="13"/>
      <c r="L4" s="14"/>
    </row>
    <row r="5" customFormat="false" ht="15" hidden="false" customHeight="false" outlineLevel="0" collapsed="false">
      <c r="A5" s="12" t="s">
        <v>59</v>
      </c>
      <c r="B5" s="12" t="s">
        <v>60</v>
      </c>
      <c r="C5" s="12" t="s">
        <v>19</v>
      </c>
      <c r="D5" s="12" t="s">
        <v>61</v>
      </c>
      <c r="E5" s="12" t="s">
        <v>20</v>
      </c>
      <c r="F5" s="12" t="s">
        <v>62</v>
      </c>
      <c r="G5" s="12" t="s">
        <v>63</v>
      </c>
      <c r="H5" s="13" t="s">
        <v>6</v>
      </c>
      <c r="I5" s="13"/>
      <c r="J5" s="13"/>
      <c r="K5" s="13"/>
      <c r="L5" s="14"/>
    </row>
    <row r="6" customFormat="false" ht="15" hidden="false" customHeight="false" outlineLevel="0" collapsed="false">
      <c r="A6" s="12" t="s">
        <v>64</v>
      </c>
      <c r="B6" s="12" t="s">
        <v>65</v>
      </c>
      <c r="C6" s="12" t="s">
        <v>19</v>
      </c>
      <c r="D6" s="12" t="s">
        <v>51</v>
      </c>
      <c r="E6" s="12" t="s">
        <v>19</v>
      </c>
      <c r="F6" s="12" t="s">
        <v>66</v>
      </c>
      <c r="G6" s="12" t="s">
        <v>67</v>
      </c>
      <c r="H6" s="13" t="s">
        <v>6</v>
      </c>
      <c r="I6" s="13"/>
      <c r="J6" s="13"/>
      <c r="K6" s="13"/>
      <c r="L6" s="14"/>
    </row>
    <row r="7" customFormat="false" ht="26.85" hidden="false" customHeight="false" outlineLevel="0" collapsed="false">
      <c r="A7" s="12" t="s">
        <v>68</v>
      </c>
      <c r="B7" s="12" t="s">
        <v>69</v>
      </c>
      <c r="C7" s="12" t="s">
        <v>19</v>
      </c>
      <c r="D7" s="12" t="s">
        <v>70</v>
      </c>
      <c r="E7" s="12" t="s">
        <v>20</v>
      </c>
      <c r="F7" s="12" t="s">
        <v>71</v>
      </c>
      <c r="G7" s="12" t="s">
        <v>72</v>
      </c>
      <c r="H7" s="13" t="s">
        <v>6</v>
      </c>
      <c r="I7" s="13"/>
      <c r="J7" s="13"/>
      <c r="K7" s="13"/>
      <c r="L7" s="14"/>
    </row>
    <row r="8" customFormat="false" ht="26.85" hidden="false" customHeight="false" outlineLevel="0" collapsed="false">
      <c r="A8" s="12" t="s">
        <v>73</v>
      </c>
      <c r="B8" s="12" t="s">
        <v>74</v>
      </c>
      <c r="C8" s="12" t="s">
        <v>19</v>
      </c>
      <c r="D8" s="12" t="s">
        <v>75</v>
      </c>
      <c r="E8" s="12" t="s">
        <v>21</v>
      </c>
      <c r="F8" s="12" t="s">
        <v>76</v>
      </c>
      <c r="G8" s="12" t="s">
        <v>77</v>
      </c>
      <c r="H8" s="13" t="s">
        <v>6</v>
      </c>
      <c r="I8" s="13"/>
      <c r="J8" s="13"/>
      <c r="K8" s="13"/>
      <c r="L8" s="14"/>
    </row>
    <row r="9" customFormat="false" ht="15" hidden="false" customHeight="false" outlineLevel="0" collapsed="false">
      <c r="A9" s="12" t="s">
        <v>78</v>
      </c>
      <c r="B9" s="12" t="s">
        <v>79</v>
      </c>
      <c r="C9" s="12" t="s">
        <v>19</v>
      </c>
      <c r="D9" s="12" t="s">
        <v>51</v>
      </c>
      <c r="E9" s="12" t="s">
        <v>21</v>
      </c>
      <c r="F9" s="12" t="s">
        <v>80</v>
      </c>
      <c r="G9" s="12" t="s">
        <v>81</v>
      </c>
      <c r="H9" s="13" t="s">
        <v>6</v>
      </c>
      <c r="I9" s="13"/>
      <c r="J9" s="13"/>
      <c r="K9" s="13"/>
      <c r="L9" s="14"/>
    </row>
    <row r="10" customFormat="false" ht="15" hidden="false" customHeight="false" outlineLevel="0" collapsed="false">
      <c r="A10" s="12" t="s">
        <v>82</v>
      </c>
      <c r="B10" s="12" t="s">
        <v>83</v>
      </c>
      <c r="C10" s="12" t="s">
        <v>19</v>
      </c>
      <c r="D10" s="12" t="s">
        <v>84</v>
      </c>
      <c r="E10" s="12" t="s">
        <v>21</v>
      </c>
      <c r="F10" s="12" t="s">
        <v>85</v>
      </c>
      <c r="G10" s="12" t="s">
        <v>86</v>
      </c>
      <c r="H10" s="13" t="s">
        <v>6</v>
      </c>
      <c r="I10" s="13"/>
      <c r="J10" s="13"/>
      <c r="K10" s="13"/>
      <c r="L10" s="14"/>
    </row>
    <row r="11" customFormat="false" ht="26.85" hidden="false" customHeight="false" outlineLevel="0" collapsed="false">
      <c r="A11" s="12" t="s">
        <v>87</v>
      </c>
      <c r="B11" s="12" t="s">
        <v>88</v>
      </c>
      <c r="C11" s="12" t="s">
        <v>20</v>
      </c>
      <c r="D11" s="12" t="s">
        <v>89</v>
      </c>
      <c r="E11" s="12" t="s">
        <v>19</v>
      </c>
      <c r="F11" s="12" t="s">
        <v>90</v>
      </c>
      <c r="G11" s="12" t="s">
        <v>91</v>
      </c>
      <c r="H11" s="13" t="s">
        <v>6</v>
      </c>
      <c r="I11" s="13"/>
      <c r="J11" s="13"/>
      <c r="K11" s="13"/>
      <c r="L11" s="14"/>
    </row>
    <row r="12" customFormat="false" ht="26.85" hidden="false" customHeight="false" outlineLevel="0" collapsed="false">
      <c r="A12" s="12" t="s">
        <v>92</v>
      </c>
      <c r="B12" s="12" t="s">
        <v>93</v>
      </c>
      <c r="C12" s="12" t="s">
        <v>20</v>
      </c>
      <c r="D12" s="12" t="s">
        <v>89</v>
      </c>
      <c r="E12" s="12" t="s">
        <v>20</v>
      </c>
      <c r="F12" s="12" t="s">
        <v>94</v>
      </c>
      <c r="G12" s="12" t="s">
        <v>95</v>
      </c>
      <c r="H12" s="13" t="s">
        <v>6</v>
      </c>
      <c r="I12" s="13"/>
      <c r="J12" s="13"/>
      <c r="K12" s="13"/>
      <c r="L12" s="14"/>
    </row>
    <row r="13" customFormat="false" ht="15" hidden="false" customHeight="false" outlineLevel="0" collapsed="false">
      <c r="A13" s="12" t="s">
        <v>96</v>
      </c>
      <c r="B13" s="12" t="s">
        <v>97</v>
      </c>
      <c r="C13" s="12" t="s">
        <v>20</v>
      </c>
      <c r="D13" s="12" t="s">
        <v>98</v>
      </c>
      <c r="E13" s="12" t="s">
        <v>20</v>
      </c>
      <c r="F13" s="12" t="s">
        <v>99</v>
      </c>
      <c r="G13" s="12" t="s">
        <v>100</v>
      </c>
      <c r="H13" s="13" t="s">
        <v>6</v>
      </c>
      <c r="I13" s="13"/>
      <c r="J13" s="13"/>
      <c r="K13" s="13"/>
      <c r="L13" s="14"/>
    </row>
    <row r="14" customFormat="false" ht="15" hidden="false" customHeight="false" outlineLevel="0" collapsed="false">
      <c r="A14" s="12" t="s">
        <v>101</v>
      </c>
      <c r="B14" s="12" t="s">
        <v>102</v>
      </c>
      <c r="C14" s="12" t="s">
        <v>20</v>
      </c>
      <c r="D14" s="12" t="s">
        <v>98</v>
      </c>
      <c r="E14" s="12" t="s">
        <v>20</v>
      </c>
      <c r="F14" s="12" t="s">
        <v>103</v>
      </c>
      <c r="G14" s="12" t="s">
        <v>104</v>
      </c>
      <c r="H14" s="13" t="s">
        <v>6</v>
      </c>
      <c r="I14" s="13"/>
      <c r="J14" s="13"/>
      <c r="K14" s="13"/>
      <c r="L14" s="14"/>
    </row>
    <row r="15" customFormat="false" ht="26.85" hidden="false" customHeight="false" outlineLevel="0" collapsed="false">
      <c r="A15" s="12" t="s">
        <v>105</v>
      </c>
      <c r="B15" s="12" t="s">
        <v>106</v>
      </c>
      <c r="C15" s="12" t="s">
        <v>20</v>
      </c>
      <c r="D15" s="12" t="s">
        <v>107</v>
      </c>
      <c r="E15" s="12" t="s">
        <v>21</v>
      </c>
      <c r="F15" s="12" t="s">
        <v>108</v>
      </c>
      <c r="G15" s="12" t="s">
        <v>109</v>
      </c>
      <c r="H15" s="13" t="s">
        <v>6</v>
      </c>
      <c r="I15" s="13"/>
      <c r="J15" s="13"/>
      <c r="K15" s="13"/>
      <c r="L15" s="14"/>
    </row>
    <row r="16" customFormat="false" ht="26.85" hidden="false" customHeight="false" outlineLevel="0" collapsed="false">
      <c r="A16" s="12" t="s">
        <v>110</v>
      </c>
      <c r="B16" s="12" t="s">
        <v>111</v>
      </c>
      <c r="C16" s="12" t="s">
        <v>20</v>
      </c>
      <c r="D16" s="12" t="s">
        <v>89</v>
      </c>
      <c r="E16" s="12" t="s">
        <v>21</v>
      </c>
      <c r="F16" s="12" t="s">
        <v>112</v>
      </c>
      <c r="G16" s="12" t="s">
        <v>113</v>
      </c>
      <c r="H16" s="13" t="s">
        <v>6</v>
      </c>
      <c r="I16" s="13"/>
      <c r="J16" s="13"/>
      <c r="K16" s="13"/>
      <c r="L16" s="14"/>
    </row>
    <row r="17" customFormat="false" ht="26.85" hidden="false" customHeight="false" outlineLevel="0" collapsed="false">
      <c r="A17" s="12" t="s">
        <v>114</v>
      </c>
      <c r="B17" s="12" t="s">
        <v>115</v>
      </c>
      <c r="C17" s="12" t="s">
        <v>20</v>
      </c>
      <c r="D17" s="12" t="s">
        <v>116</v>
      </c>
      <c r="E17" s="12" t="s">
        <v>20</v>
      </c>
      <c r="F17" s="12" t="s">
        <v>117</v>
      </c>
      <c r="G17" s="12" t="s">
        <v>118</v>
      </c>
      <c r="H17" s="13" t="s">
        <v>6</v>
      </c>
      <c r="I17" s="13"/>
      <c r="J17" s="13"/>
      <c r="K17" s="13"/>
      <c r="L17" s="14"/>
    </row>
    <row r="18" customFormat="false" ht="15" hidden="false" customHeight="false" outlineLevel="0" collapsed="false">
      <c r="A18" s="12" t="s">
        <v>119</v>
      </c>
      <c r="B18" s="12" t="s">
        <v>120</v>
      </c>
      <c r="C18" s="12" t="s">
        <v>20</v>
      </c>
      <c r="D18" s="12" t="s">
        <v>98</v>
      </c>
      <c r="E18" s="12" t="s">
        <v>21</v>
      </c>
      <c r="F18" s="12" t="s">
        <v>121</v>
      </c>
      <c r="G18" s="12" t="s">
        <v>122</v>
      </c>
      <c r="H18" s="13" t="s">
        <v>6</v>
      </c>
      <c r="I18" s="13"/>
      <c r="J18" s="13"/>
      <c r="K18" s="13"/>
      <c r="L18" s="14"/>
    </row>
    <row r="19" customFormat="false" ht="26.85" hidden="false" customHeight="false" outlineLevel="0" collapsed="false">
      <c r="A19" s="12" t="s">
        <v>123</v>
      </c>
      <c r="B19" s="12" t="s">
        <v>124</v>
      </c>
      <c r="C19" s="12" t="s">
        <v>20</v>
      </c>
      <c r="D19" s="12" t="s">
        <v>125</v>
      </c>
      <c r="E19" s="12" t="s">
        <v>20</v>
      </c>
      <c r="F19" s="12" t="s">
        <v>126</v>
      </c>
      <c r="G19" s="12" t="s">
        <v>127</v>
      </c>
      <c r="H19" s="13" t="s">
        <v>6</v>
      </c>
      <c r="I19" s="13"/>
      <c r="J19" s="13"/>
      <c r="K19" s="13"/>
      <c r="L19" s="14"/>
    </row>
    <row r="20" customFormat="false" ht="15" hidden="false" customHeight="false" outlineLevel="0" collapsed="false">
      <c r="A20" s="12" t="s">
        <v>128</v>
      </c>
      <c r="B20" s="12" t="s">
        <v>129</v>
      </c>
      <c r="C20" s="12" t="s">
        <v>21</v>
      </c>
      <c r="D20" s="12" t="s">
        <v>84</v>
      </c>
      <c r="E20" s="12" t="s">
        <v>19</v>
      </c>
      <c r="F20" s="12" t="s">
        <v>130</v>
      </c>
      <c r="G20" s="12" t="s">
        <v>131</v>
      </c>
      <c r="H20" s="13" t="s">
        <v>6</v>
      </c>
      <c r="I20" s="13"/>
      <c r="J20" s="13"/>
      <c r="K20" s="13"/>
      <c r="L20" s="14"/>
    </row>
    <row r="21" customFormat="false" ht="15" hidden="false" customHeight="false" outlineLevel="0" collapsed="false">
      <c r="A21" s="12" t="s">
        <v>132</v>
      </c>
      <c r="B21" s="12" t="s">
        <v>133</v>
      </c>
      <c r="C21" s="12" t="s">
        <v>21</v>
      </c>
      <c r="D21" s="12" t="s">
        <v>84</v>
      </c>
      <c r="E21" s="12" t="s">
        <v>19</v>
      </c>
      <c r="F21" s="12" t="s">
        <v>134</v>
      </c>
      <c r="G21" s="12" t="s">
        <v>135</v>
      </c>
      <c r="H21" s="13" t="s">
        <v>6</v>
      </c>
      <c r="I21" s="13"/>
      <c r="J21" s="13"/>
      <c r="K21" s="13"/>
      <c r="L21" s="14"/>
    </row>
    <row r="22" customFormat="false" ht="15" hidden="false" customHeight="false" outlineLevel="0" collapsed="false">
      <c r="A22" s="12" t="s">
        <v>136</v>
      </c>
      <c r="B22" s="12" t="s">
        <v>137</v>
      </c>
      <c r="C22" s="12" t="s">
        <v>21</v>
      </c>
      <c r="D22" s="12" t="s">
        <v>84</v>
      </c>
      <c r="E22" s="12" t="s">
        <v>21</v>
      </c>
      <c r="F22" s="12" t="s">
        <v>138</v>
      </c>
      <c r="G22" s="12" t="s">
        <v>139</v>
      </c>
      <c r="H22" s="13" t="s">
        <v>6</v>
      </c>
      <c r="I22" s="13"/>
      <c r="J22" s="13"/>
      <c r="K22" s="13"/>
      <c r="L22" s="14"/>
    </row>
    <row r="23" customFormat="false" ht="15" hidden="false" customHeight="false" outlineLevel="0" collapsed="false">
      <c r="A23" s="12" t="s">
        <v>140</v>
      </c>
      <c r="B23" s="12" t="s">
        <v>141</v>
      </c>
      <c r="C23" s="12" t="s">
        <v>21</v>
      </c>
      <c r="D23" s="12" t="s">
        <v>142</v>
      </c>
      <c r="E23" s="12" t="s">
        <v>20</v>
      </c>
      <c r="F23" s="12" t="s">
        <v>143</v>
      </c>
      <c r="G23" s="12" t="s">
        <v>144</v>
      </c>
      <c r="H23" s="13" t="s">
        <v>6</v>
      </c>
      <c r="I23" s="13"/>
      <c r="J23" s="13"/>
      <c r="K23" s="13"/>
      <c r="L23" s="14"/>
    </row>
    <row r="24" customFormat="false" ht="15" hidden="false" customHeight="false" outlineLevel="0" collapsed="false">
      <c r="A24" s="12" t="s">
        <v>145</v>
      </c>
      <c r="B24" s="12" t="s">
        <v>146</v>
      </c>
      <c r="C24" s="12" t="s">
        <v>21</v>
      </c>
      <c r="D24" s="12" t="s">
        <v>142</v>
      </c>
      <c r="E24" s="12" t="s">
        <v>21</v>
      </c>
      <c r="F24" s="12" t="s">
        <v>147</v>
      </c>
      <c r="G24" s="12" t="s">
        <v>148</v>
      </c>
      <c r="H24" s="13" t="s">
        <v>6</v>
      </c>
      <c r="I24" s="13"/>
      <c r="J24" s="13"/>
      <c r="K24" s="13"/>
      <c r="L24" s="14"/>
    </row>
    <row r="25" customFormat="false" ht="26.85" hidden="false" customHeight="false" outlineLevel="0" collapsed="false">
      <c r="A25" s="12" t="s">
        <v>149</v>
      </c>
      <c r="B25" s="12" t="s">
        <v>150</v>
      </c>
      <c r="C25" s="12" t="s">
        <v>151</v>
      </c>
      <c r="D25" s="12" t="s">
        <v>152</v>
      </c>
      <c r="E25" s="12" t="s">
        <v>20</v>
      </c>
      <c r="F25" s="12" t="s">
        <v>153</v>
      </c>
      <c r="G25" s="12" t="s">
        <v>154</v>
      </c>
      <c r="H25" s="13" t="s">
        <v>6</v>
      </c>
      <c r="I25" s="13"/>
      <c r="J25" s="13"/>
      <c r="K25" s="13"/>
      <c r="L25" s="14"/>
    </row>
    <row r="26" customFormat="false" ht="15" hidden="false" customHeight="false" outlineLevel="0" collapsed="false">
      <c r="A26" s="12" t="s">
        <v>155</v>
      </c>
      <c r="B26" s="12" t="s">
        <v>156</v>
      </c>
      <c r="C26" s="12" t="s">
        <v>151</v>
      </c>
      <c r="D26" s="12" t="s">
        <v>157</v>
      </c>
      <c r="E26" s="12" t="s">
        <v>20</v>
      </c>
      <c r="F26" s="12" t="s">
        <v>158</v>
      </c>
      <c r="G26" s="12" t="s">
        <v>159</v>
      </c>
      <c r="H26" s="13" t="s">
        <v>6</v>
      </c>
      <c r="I26" s="13"/>
      <c r="J26" s="13"/>
      <c r="K26" s="13"/>
      <c r="L26" s="14"/>
    </row>
  </sheetData>
  <autoFilter ref="A1:L26"/>
  <dataValidations count="1">
    <dataValidation allowBlank="true" error="Pick a status from the list." errorStyle="stop" errorTitle="Design status" operator="between" showDropDown="false" showErrorMessage="true" showInputMessage="false" sqref="H2:H26" type="list">
      <formula1>"To design,In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36"/>
  </cols>
  <sheetData>
    <row r="1" customFormat="false" ht="26.85" hidden="false" customHeight="false" outlineLevel="0" collapsed="false">
      <c r="A1" s="11" t="s">
        <v>36</v>
      </c>
      <c r="B1" s="11" t="s">
        <v>12</v>
      </c>
      <c r="C1" s="11" t="s">
        <v>160</v>
      </c>
      <c r="D1" s="11" t="s">
        <v>161</v>
      </c>
      <c r="E1" s="11" t="s">
        <v>34</v>
      </c>
      <c r="F1" s="11" t="s">
        <v>3</v>
      </c>
      <c r="G1" s="11" t="s">
        <v>41</v>
      </c>
    </row>
    <row r="2" customFormat="false" ht="26.85" hidden="false" customHeight="false" outlineLevel="0" collapsed="false">
      <c r="A2" s="12" t="s">
        <v>162</v>
      </c>
      <c r="B2" s="12" t="s">
        <v>163</v>
      </c>
      <c r="C2" s="12" t="s">
        <v>164</v>
      </c>
      <c r="D2" s="12" t="s">
        <v>165</v>
      </c>
      <c r="E2" s="12" t="s">
        <v>166</v>
      </c>
      <c r="F2" s="13" t="s">
        <v>6</v>
      </c>
      <c r="G2" s="13"/>
    </row>
    <row r="3" customFormat="false" ht="77.6" hidden="false" customHeight="false" outlineLevel="0" collapsed="false">
      <c r="A3" s="12" t="s">
        <v>19</v>
      </c>
      <c r="B3" s="12" t="s">
        <v>167</v>
      </c>
      <c r="C3" s="12" t="s">
        <v>168</v>
      </c>
      <c r="D3" s="12" t="s">
        <v>169</v>
      </c>
      <c r="E3" s="12" t="s">
        <v>170</v>
      </c>
      <c r="F3" s="13" t="s">
        <v>6</v>
      </c>
      <c r="G3" s="13"/>
    </row>
    <row r="4" customFormat="false" ht="39.55" hidden="false" customHeight="false" outlineLevel="0" collapsed="false">
      <c r="A4" s="12" t="s">
        <v>20</v>
      </c>
      <c r="B4" s="12" t="s">
        <v>171</v>
      </c>
      <c r="C4" s="12" t="s">
        <v>172</v>
      </c>
      <c r="D4" s="12" t="s">
        <v>173</v>
      </c>
      <c r="E4" s="12" t="s">
        <v>174</v>
      </c>
      <c r="F4" s="13" t="s">
        <v>6</v>
      </c>
      <c r="G4" s="13"/>
    </row>
    <row r="5" customFormat="false" ht="39.55" hidden="false" customHeight="false" outlineLevel="0" collapsed="false">
      <c r="A5" s="12" t="s">
        <v>21</v>
      </c>
      <c r="B5" s="12" t="s">
        <v>175</v>
      </c>
      <c r="C5" s="12" t="s">
        <v>176</v>
      </c>
      <c r="D5" s="12" t="s">
        <v>177</v>
      </c>
      <c r="E5" s="12" t="s">
        <v>178</v>
      </c>
      <c r="F5" s="13" t="s">
        <v>6</v>
      </c>
      <c r="G5" s="13"/>
    </row>
    <row r="6" customFormat="false" ht="39.55" hidden="false" customHeight="false" outlineLevel="0" collapsed="false">
      <c r="A6" s="12" t="s">
        <v>151</v>
      </c>
      <c r="B6" s="12" t="s">
        <v>179</v>
      </c>
      <c r="C6" s="12" t="s">
        <v>180</v>
      </c>
      <c r="D6" s="12" t="s">
        <v>181</v>
      </c>
      <c r="E6" s="12" t="s">
        <v>182</v>
      </c>
      <c r="F6" s="13" t="s">
        <v>6</v>
      </c>
      <c r="G6" s="13"/>
    </row>
    <row r="7" customFormat="false" ht="26.85" hidden="false" customHeight="false" outlineLevel="0" collapsed="false">
      <c r="A7" s="12" t="s">
        <v>183</v>
      </c>
      <c r="B7" s="12" t="s">
        <v>184</v>
      </c>
      <c r="C7" s="12" t="s">
        <v>185</v>
      </c>
      <c r="D7" s="12" t="s">
        <v>165</v>
      </c>
      <c r="E7" s="12" t="s">
        <v>186</v>
      </c>
      <c r="F7" s="13" t="s">
        <v>6</v>
      </c>
      <c r="G7" s="13"/>
    </row>
  </sheetData>
  <autoFilter ref="A1:G7"/>
  <dataValidations count="1">
    <dataValidation allowBlank="true" error="Pick a status from the list." errorStyle="stop" errorTitle="Design status" operator="between" showDropDown="false" showErrorMessage="true" showInputMessage="false" sqref="F2:F7" type="list">
      <formula1>"To design,In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1" t="s">
        <v>187</v>
      </c>
      <c r="B1" s="11" t="s">
        <v>161</v>
      </c>
      <c r="C1" s="11" t="s">
        <v>188</v>
      </c>
      <c r="D1" s="11" t="s">
        <v>3</v>
      </c>
      <c r="E1" s="11" t="s">
        <v>40</v>
      </c>
    </row>
    <row r="2" customFormat="false" ht="26.85" hidden="false" customHeight="false" outlineLevel="0" collapsed="false">
      <c r="A2" s="12" t="s">
        <v>189</v>
      </c>
      <c r="B2" s="12" t="s">
        <v>190</v>
      </c>
      <c r="C2" s="12" t="s">
        <v>191</v>
      </c>
      <c r="D2" s="13" t="s">
        <v>6</v>
      </c>
      <c r="E2" s="13"/>
    </row>
    <row r="3" customFormat="false" ht="26.85" hidden="false" customHeight="false" outlineLevel="0" collapsed="false">
      <c r="A3" s="12" t="s">
        <v>192</v>
      </c>
      <c r="B3" s="12" t="s">
        <v>193</v>
      </c>
      <c r="C3" s="12" t="s">
        <v>194</v>
      </c>
      <c r="D3" s="13" t="s">
        <v>6</v>
      </c>
      <c r="E3" s="13"/>
    </row>
    <row r="4" customFormat="false" ht="26.85" hidden="false" customHeight="false" outlineLevel="0" collapsed="false">
      <c r="A4" s="12" t="s">
        <v>195</v>
      </c>
      <c r="B4" s="12" t="s">
        <v>196</v>
      </c>
      <c r="C4" s="12" t="s">
        <v>197</v>
      </c>
      <c r="D4" s="13" t="s">
        <v>6</v>
      </c>
      <c r="E4" s="13"/>
    </row>
    <row r="5" customFormat="false" ht="15" hidden="false" customHeight="false" outlineLevel="0" collapsed="false">
      <c r="A5" s="12" t="s">
        <v>198</v>
      </c>
      <c r="B5" s="12" t="s">
        <v>199</v>
      </c>
      <c r="C5" s="12" t="s">
        <v>200</v>
      </c>
      <c r="D5" s="13" t="s">
        <v>6</v>
      </c>
      <c r="E5" s="13"/>
    </row>
    <row r="6" customFormat="false" ht="26.85" hidden="false" customHeight="false" outlineLevel="0" collapsed="false">
      <c r="A6" s="12" t="s">
        <v>201</v>
      </c>
      <c r="B6" s="12" t="s">
        <v>165</v>
      </c>
      <c r="C6" s="12" t="s">
        <v>202</v>
      </c>
      <c r="D6" s="13" t="s">
        <v>6</v>
      </c>
      <c r="E6" s="13"/>
    </row>
    <row r="7" customFormat="false" ht="26.85" hidden="false" customHeight="false" outlineLevel="0" collapsed="false">
      <c r="A7" s="12" t="s">
        <v>203</v>
      </c>
      <c r="B7" s="12" t="s">
        <v>204</v>
      </c>
      <c r="C7" s="12" t="s">
        <v>205</v>
      </c>
      <c r="D7" s="13" t="s">
        <v>6</v>
      </c>
      <c r="E7" s="13"/>
    </row>
    <row r="8" customFormat="false" ht="26.85" hidden="false" customHeight="false" outlineLevel="0" collapsed="false">
      <c r="A8" s="12" t="s">
        <v>206</v>
      </c>
      <c r="B8" s="12" t="s">
        <v>204</v>
      </c>
      <c r="C8" s="12" t="s">
        <v>207</v>
      </c>
      <c r="D8" s="13" t="s">
        <v>6</v>
      </c>
      <c r="E8" s="13"/>
    </row>
    <row r="9" customFormat="false" ht="26.85" hidden="false" customHeight="false" outlineLevel="0" collapsed="false">
      <c r="A9" s="12" t="s">
        <v>208</v>
      </c>
      <c r="B9" s="12" t="s">
        <v>204</v>
      </c>
      <c r="C9" s="12" t="s">
        <v>209</v>
      </c>
      <c r="D9" s="13" t="s">
        <v>6</v>
      </c>
      <c r="E9" s="13"/>
    </row>
    <row r="10" customFormat="false" ht="26.85" hidden="false" customHeight="false" outlineLevel="0" collapsed="false">
      <c r="A10" s="12" t="s">
        <v>210</v>
      </c>
      <c r="B10" s="12" t="s">
        <v>211</v>
      </c>
      <c r="C10" s="12" t="s">
        <v>212</v>
      </c>
      <c r="D10" s="13" t="s">
        <v>6</v>
      </c>
      <c r="E10" s="13"/>
    </row>
    <row r="11" customFormat="false" ht="15" hidden="false" customHeight="false" outlineLevel="0" collapsed="false">
      <c r="A11" s="12" t="s">
        <v>213</v>
      </c>
      <c r="B11" s="12" t="s">
        <v>214</v>
      </c>
      <c r="C11" s="12" t="s">
        <v>215</v>
      </c>
      <c r="D11" s="13" t="s">
        <v>6</v>
      </c>
      <c r="E11" s="13"/>
    </row>
    <row r="12" customFormat="false" ht="26.85" hidden="false" customHeight="false" outlineLevel="0" collapsed="false">
      <c r="A12" s="12" t="s">
        <v>216</v>
      </c>
      <c r="B12" s="12" t="s">
        <v>217</v>
      </c>
      <c r="C12" s="12" t="s">
        <v>218</v>
      </c>
      <c r="D12" s="13" t="s">
        <v>6</v>
      </c>
      <c r="E12" s="13"/>
    </row>
    <row r="13" customFormat="false" ht="15" hidden="false" customHeight="false" outlineLevel="0" collapsed="false">
      <c r="A13" s="12" t="s">
        <v>219</v>
      </c>
      <c r="B13" s="12" t="s">
        <v>181</v>
      </c>
      <c r="C13" s="12" t="s">
        <v>220</v>
      </c>
      <c r="D13" s="13" t="s">
        <v>6</v>
      </c>
      <c r="E13" s="13"/>
    </row>
  </sheetData>
  <autoFilter ref="A1:E13"/>
  <dataValidations count="1">
    <dataValidation allowBlank="true" error="Pick a status from the list." errorStyle="stop" errorTitle="Design status" operator="between" showDropDown="false" showErrorMessage="true" showInputMessage="false" sqref="D2:D13" type="list">
      <formula1>"To design,In progress,In 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4"/>
  </cols>
  <sheetData>
    <row r="1" customFormat="false" ht="26.85" hidden="false" customHeight="false" outlineLevel="0" collapsed="false">
      <c r="A1" s="11" t="s">
        <v>221</v>
      </c>
      <c r="B1" s="11" t="s">
        <v>222</v>
      </c>
      <c r="C1" s="11" t="s">
        <v>223</v>
      </c>
      <c r="D1" s="11" t="s">
        <v>224</v>
      </c>
      <c r="E1" s="11" t="s">
        <v>225</v>
      </c>
    </row>
    <row r="2" customFormat="false" ht="26.85" hidden="false" customHeight="false" outlineLevel="0" collapsed="false">
      <c r="A2" s="12" t="n">
        <v>1</v>
      </c>
      <c r="B2" s="12" t="s">
        <v>226</v>
      </c>
      <c r="C2" s="12" t="s">
        <v>227</v>
      </c>
      <c r="D2" s="13" t="s">
        <v>228</v>
      </c>
      <c r="E2" s="14" t="s">
        <v>229</v>
      </c>
    </row>
    <row r="3" customFormat="false" ht="26.85" hidden="false" customHeight="false" outlineLevel="0" collapsed="false">
      <c r="A3" s="12" t="n">
        <v>2</v>
      </c>
      <c r="B3" s="12" t="s">
        <v>230</v>
      </c>
      <c r="C3" s="12" t="s">
        <v>231</v>
      </c>
      <c r="D3" s="13" t="s">
        <v>232</v>
      </c>
      <c r="E3" s="14" t="s">
        <v>229</v>
      </c>
    </row>
    <row r="4" customFormat="false" ht="39.55" hidden="false" customHeight="false" outlineLevel="0" collapsed="false">
      <c r="A4" s="12" t="n">
        <v>3</v>
      </c>
      <c r="B4" s="12" t="s">
        <v>233</v>
      </c>
      <c r="C4" s="12" t="s">
        <v>227</v>
      </c>
      <c r="D4" s="13" t="s">
        <v>234</v>
      </c>
      <c r="E4" s="14" t="s">
        <v>229</v>
      </c>
    </row>
    <row r="5" customFormat="false" ht="15" hidden="false" customHeight="false" outlineLevel="0" collapsed="false">
      <c r="A5" s="12" t="n">
        <v>4</v>
      </c>
      <c r="B5" s="12" t="s">
        <v>235</v>
      </c>
      <c r="C5" s="12" t="s">
        <v>236</v>
      </c>
      <c r="D5" s="13"/>
      <c r="E5" s="14"/>
    </row>
    <row r="6" customFormat="false" ht="26.85" hidden="false" customHeight="false" outlineLevel="0" collapsed="false">
      <c r="A6" s="12" t="n">
        <v>5</v>
      </c>
      <c r="B6" s="12" t="s">
        <v>237</v>
      </c>
      <c r="C6" s="12" t="s">
        <v>238</v>
      </c>
      <c r="D6" s="13"/>
      <c r="E6" s="14"/>
    </row>
    <row r="7" customFormat="false" ht="39.55" hidden="false" customHeight="false" outlineLevel="0" collapsed="false">
      <c r="A7" s="12" t="n">
        <v>6</v>
      </c>
      <c r="B7" s="12" t="s">
        <v>239</v>
      </c>
      <c r="C7" s="12" t="s">
        <v>227</v>
      </c>
      <c r="D7" s="13" t="s">
        <v>240</v>
      </c>
      <c r="E7" s="14" t="s">
        <v>229</v>
      </c>
    </row>
    <row r="8" customFormat="false" ht="39.55" hidden="false" customHeight="false" outlineLevel="0" collapsed="false">
      <c r="A8" s="12" t="n">
        <v>7</v>
      </c>
      <c r="B8" s="12" t="s">
        <v>241</v>
      </c>
      <c r="C8" s="12" t="s">
        <v>242</v>
      </c>
      <c r="D8" s="13" t="s">
        <v>243</v>
      </c>
      <c r="E8" s="14" t="s">
        <v>229</v>
      </c>
    </row>
    <row r="9" customFormat="false" ht="52.2" hidden="false" customHeight="false" outlineLevel="0" collapsed="false">
      <c r="A9" s="12" t="n">
        <v>8</v>
      </c>
      <c r="B9" s="12" t="s">
        <v>244</v>
      </c>
      <c r="C9" s="12" t="s">
        <v>227</v>
      </c>
      <c r="D9" s="13" t="s">
        <v>245</v>
      </c>
      <c r="E9" s="14" t="s">
        <v>229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2026-09-26T06:44:39Z</dcterms:created>
  <dc:creator>openpyxl</dc:creator>
  <dc:description/>
  <dc:language>en-US</dc:language>
  <cp:lastModifiedBy/>
  <dcterms:modified xsi:type="dcterms:W3CDTF">2026-09-26T06:44:39Z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