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cisions" sheetId="2" state="visible" r:id="rId2"/>
    <sheet xmlns:r="http://schemas.openxmlformats.org/officeDocument/2006/relationships" name="Admin screens" sheetId="3" state="visible" r:id="rId3"/>
    <sheet xmlns:r="http://schemas.openxmlformats.org/officeDocument/2006/relationships" name="Review comments" sheetId="4" state="visible" r:id="rId4"/>
    <sheet xmlns:r="http://schemas.openxmlformats.org/officeDocument/2006/relationships" name="Screen map" sheetId="5" state="visible" r:id="rId5"/>
    <sheet xmlns:r="http://schemas.openxmlformats.org/officeDocument/2006/relationships" name="Field map" sheetId="6" state="visible" r:id="rId6"/>
    <sheet xmlns:r="http://schemas.openxmlformats.org/officeDocument/2006/relationships" name="Field gaps" sheetId="7" state="visible" r:id="rId7"/>
    <sheet xmlns:r="http://schemas.openxmlformats.org/officeDocument/2006/relationships" name="Field coverage" sheetId="8" state="visible" r:id="rId8"/>
  </sheets>
  <definedNames>
    <definedName name="_xlnm._FilterDatabase" localSheetId="2" hidden="1">'Admin screens'!$A$1:$G$41</definedName>
    <definedName name="_xlnm._FilterDatabase" localSheetId="3" hidden="1">'Review comments'!$A$1:$K$40</definedName>
    <definedName name="_xlnm._FilterDatabase" localSheetId="5" hidden="1">'Field map'!$A$1:$F$197</definedName>
    <definedName name="_xlnm._FilterDatabase" localSheetId="6" hidden="1">'Field gaps'!$A$1:$G$20</definedName>
    <definedName name="_xlnm._FilterDatabase" localSheetId="7" hidden="1">'Field coverage'!$A$9:$I$189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font>
    <font>
      <b val="1"/>
      <color rgb="00FFFFFF"/>
    </font>
    <font>
      <color rgb="000563C1"/>
      <u val="single"/>
    </font>
    <font>
      <b val="1"/>
      <sz val="12"/>
    </font>
  </fonts>
  <fills count="9">
    <fill>
      <patternFill/>
    </fill>
    <fill>
      <patternFill patternType="gray125"/>
    </fill>
    <fill>
      <patternFill patternType="solid">
        <fgColor rgb="007A5A1E"/>
      </patternFill>
    </fill>
    <fill>
      <patternFill patternType="solid">
        <fgColor rgb="00F8D7D3"/>
      </patternFill>
    </fill>
    <fill>
      <patternFill patternType="solid">
        <fgColor rgb="00FCEFD2"/>
      </patternFill>
    </fill>
    <fill>
      <patternFill patternType="solid">
        <fgColor rgb="00E6F0E0"/>
      </patternFill>
    </fill>
    <fill>
      <patternFill patternType="solid">
        <fgColor rgb="00FFF6D5"/>
      </patternFill>
    </fill>
    <fill>
      <patternFill patternType="solid">
        <fgColor rgb="00DDEBF7"/>
      </patternFill>
    </fill>
    <fill>
      <patternFill patternType="solid">
        <fgColor rgb="00EDEDE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3">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pivotButton="0" quotePrefix="0" xfId="0"/>
    <xf numFmtId="0" fontId="3" fillId="2" borderId="0" applyAlignment="1" pivotButton="0" quotePrefix="0" xfId="0">
      <alignment vertical="center" wrapText="1"/>
    </xf>
    <xf numFmtId="0" fontId="0" fillId="0" borderId="1" applyAlignment="1" pivotButton="0" quotePrefix="0" xfId="0">
      <alignment vertical="top" wrapText="1"/>
    </xf>
    <xf numFmtId="0" fontId="3" fillId="2" borderId="1" applyAlignment="1" pivotButton="0" quotePrefix="0" xfId="0">
      <alignment vertical="center" wrapText="1"/>
    </xf>
    <xf numFmtId="0" fontId="4" fillId="0" borderId="1" applyAlignment="1" pivotButton="0" quotePrefix="0" xfId="0">
      <alignment vertical="top" wrapText="1"/>
    </xf>
    <xf numFmtId="0" fontId="0" fillId="3" borderId="1" applyAlignment="1" pivotButton="0" quotePrefix="0" xfId="0">
      <alignment vertical="top" wrapText="1"/>
    </xf>
    <xf numFmtId="0" fontId="0" fillId="6" borderId="1" applyAlignment="1" pivotButton="0" quotePrefix="0" xfId="0">
      <alignment vertical="top" wrapText="1"/>
    </xf>
    <xf numFmtId="0" fontId="2" fillId="7"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4"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5" fillId="0" borderId="0" pivotButton="0" quotePrefix="0" xfId="0"/>
    <xf numFmtId="0" fontId="0" fillId="5" borderId="0" pivotButton="0" quotePrefix="0" xfId="0"/>
    <xf numFmtId="0" fontId="0" fillId="4" borderId="0" pivotButton="0" quotePrefix="0" xfId="0"/>
    <xf numFmtId="0" fontId="0" fillId="3" borderId="0" pivotButton="0" quotePrefix="0" xfId="0"/>
    <xf numFmtId="0" fontId="0" fillId="8" borderId="0" pivotButton="0" quotePrefix="0" xfId="0"/>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www.figma.com/design/Kx3ECVqOwxbyR5pVWy2J7S/OudhTrade?node-id=35-15877" TargetMode="External" Id="rId1"/><Relationship Type="http://schemas.openxmlformats.org/officeDocument/2006/relationships/hyperlink" Target="https://www.figma.com/design/Kx3ECVqOwxbyR5pVWy2J7S/OudhTrade?node-id=464-13604" TargetMode="External" Id="rId2"/><Relationship Type="http://schemas.openxmlformats.org/officeDocument/2006/relationships/hyperlink" Target="https://www.figma.com/design/Kx3ECVqOwxbyR5pVWy2J7S/OudhTrade?node-id=4-1168" TargetMode="External" Id="rId3"/><Relationship Type="http://schemas.openxmlformats.org/officeDocument/2006/relationships/hyperlink" Target="https://www.figma.com/design/Kx3ECVqOwxbyR5pVWy2J7S/OudhTrade?node-id=31-11491" TargetMode="External" Id="rId4"/><Relationship Type="http://schemas.openxmlformats.org/officeDocument/2006/relationships/hyperlink" Target="https://www.figma.com/design/Kx3ECVqOwxbyR5pVWy2J7S/OudhTrade?node-id=31-11491" TargetMode="External" Id="rId5"/><Relationship Type="http://schemas.openxmlformats.org/officeDocument/2006/relationships/hyperlink" Target="https://www.figma.com/design/Kx3ECVqOwxbyR5pVWy2J7S/OudhTrade?node-id=256-28609" TargetMode="External" Id="rId6"/><Relationship Type="http://schemas.openxmlformats.org/officeDocument/2006/relationships/hyperlink" Target="https://www.figma.com/design/Kx3ECVqOwxbyR5pVWy2J7S/OudhTrade?node-id=35-14802" TargetMode="External" Id="rId7"/><Relationship Type="http://schemas.openxmlformats.org/officeDocument/2006/relationships/hyperlink" Target="https://www.figma.com/design/Kx3ECVqOwxbyR5pVWy2J7S/OudhTrade?node-id=35-14373" TargetMode="External" Id="rId8"/><Relationship Type="http://schemas.openxmlformats.org/officeDocument/2006/relationships/hyperlink" Target="https://www.figma.com/design/Kx3ECVqOwxbyR5pVWy2J7S/OudhTrade?node-id=186-717" TargetMode="External" Id="rId9"/><Relationship Type="http://schemas.openxmlformats.org/officeDocument/2006/relationships/hyperlink" Target="https://www.figma.com/design/Kx3ECVqOwxbyR5pVWy2J7S/OudhTrade?node-id=186-717" TargetMode="External" Id="rId10"/><Relationship Type="http://schemas.openxmlformats.org/officeDocument/2006/relationships/hyperlink" Target="https://www.figma.com/design/Kx3ECVqOwxbyR5pVWy2J7S/OudhTrade?node-id=167-34800" TargetMode="External" Id="rId11"/><Relationship Type="http://schemas.openxmlformats.org/officeDocument/2006/relationships/hyperlink" Target="https://www.figma.com/design/Kx3ECVqOwxbyR5pVWy2J7S/OudhTrade?node-id=60-19803" TargetMode="External" Id="rId12"/><Relationship Type="http://schemas.openxmlformats.org/officeDocument/2006/relationships/hyperlink" Target="https://www.figma.com/design/Kx3ECVqOwxbyR5pVWy2J7S/OudhTrade?node-id=35-16772" TargetMode="External" Id="rId13"/><Relationship Type="http://schemas.openxmlformats.org/officeDocument/2006/relationships/hyperlink" Target="https://www.figma.com/design/Kx3ECVqOwxbyR5pVWy2J7S/OudhTrade?node-id=35-16868" TargetMode="External" Id="rId14"/><Relationship Type="http://schemas.openxmlformats.org/officeDocument/2006/relationships/hyperlink" Target="https://www.figma.com/design/Kx3ECVqOwxbyR5pVWy2J7S/OudhTrade?node-id=35-17691" TargetMode="External" Id="rId15"/><Relationship Type="http://schemas.openxmlformats.org/officeDocument/2006/relationships/hyperlink" Target="https://www.figma.com/design/Kx3ECVqOwxbyR5pVWy2J7S/OudhTrade?node-id=4-33" TargetMode="External" Id="rId16"/><Relationship Type="http://schemas.openxmlformats.org/officeDocument/2006/relationships/hyperlink" Target="https://www.figma.com/design/Kx3ECVqOwxbyR5pVWy2J7S/OudhTrade?node-id=4-33" TargetMode="External" Id="rId17"/><Relationship Type="http://schemas.openxmlformats.org/officeDocument/2006/relationships/hyperlink" Target="https://www.figma.com/design/Kx3ECVqOwxbyR5pVWy2J7S/OudhTrade?node-id=4-33" TargetMode="External" Id="rId18"/><Relationship Type="http://schemas.openxmlformats.org/officeDocument/2006/relationships/hyperlink" Target="https://www.figma.com/design/Kx3ECVqOwxbyR5pVWy2J7S/OudhTrade?node-id=4-879" TargetMode="External" Id="rId19"/><Relationship Type="http://schemas.openxmlformats.org/officeDocument/2006/relationships/hyperlink" Target="https://www.figma.com/design/Kx3ECVqOwxbyR5pVWy2J7S/OudhTrade?node-id=243-20259" TargetMode="External" Id="rId20"/><Relationship Type="http://schemas.openxmlformats.org/officeDocument/2006/relationships/hyperlink" Target="https://www.figma.com/design/Kx3ECVqOwxbyR5pVWy2J7S/OudhTrade?node-id=4-1298" TargetMode="External" Id="rId21"/><Relationship Type="http://schemas.openxmlformats.org/officeDocument/2006/relationships/hyperlink" Target="https://www.figma.com/design/Kx3ECVqOwxbyR5pVWy2J7S/OudhTrade?node-id=12-1763" TargetMode="External" Id="rId22"/><Relationship Type="http://schemas.openxmlformats.org/officeDocument/2006/relationships/hyperlink" Target="https://www.figma.com/design/Kx3ECVqOwxbyR5pVWy2J7S/OudhTrade?node-id=4-1717" TargetMode="External" Id="rId23"/><Relationship Type="http://schemas.openxmlformats.org/officeDocument/2006/relationships/hyperlink" Target="https://www.figma.com/design/Kx3ECVqOwxbyR5pVWy2J7S/OudhTrade?node-id=468-14313" TargetMode="External" Id="rId24"/><Relationship Type="http://schemas.openxmlformats.org/officeDocument/2006/relationships/hyperlink" Target="https://www.figma.com/design/Kx3ECVqOwxbyR5pVWy2J7S/OudhTrade?node-id=14-2034" TargetMode="External" Id="rId25"/><Relationship Type="http://schemas.openxmlformats.org/officeDocument/2006/relationships/hyperlink" Target="https://www.figma.com/design/Kx3ECVqOwxbyR5pVWy2J7S/OudhTrade?node-id=464-13919" TargetMode="External" Id="rId26"/><Relationship Type="http://schemas.openxmlformats.org/officeDocument/2006/relationships/hyperlink" Target="https://www.figma.com/design/Kx3ECVqOwxbyR5pVWy2J7S/OudhTrade?node-id=31-11491" TargetMode="External" Id="rId27"/><Relationship Type="http://schemas.openxmlformats.org/officeDocument/2006/relationships/hyperlink" Target="https://www.figma.com/design/Kx3ECVqOwxbyR5pVWy2J7S/OudhTrade?node-id=243-20531" TargetMode="External" Id="rId28"/><Relationship Type="http://schemas.openxmlformats.org/officeDocument/2006/relationships/hyperlink" Target="https://www.figma.com/design/Kx3ECVqOwxbyR5pVWy2J7S/OudhTrade?node-id=203-14859" TargetMode="External" Id="rId29"/><Relationship Type="http://schemas.openxmlformats.org/officeDocument/2006/relationships/hyperlink" Target="https://www.figma.com/design/Kx3ECVqOwxbyR5pVWy2J7S/OudhTrade?node-id=243-21443" TargetMode="External" Id="rId30"/><Relationship Type="http://schemas.openxmlformats.org/officeDocument/2006/relationships/hyperlink" Target="https://www.figma.com/design/Kx3ECVqOwxbyR5pVWy2J7S/OudhTrade?node-id=256-28609" TargetMode="External" Id="rId31"/><Relationship Type="http://schemas.openxmlformats.org/officeDocument/2006/relationships/hyperlink" Target="https://www.figma.com/design/Kx3ECVqOwxbyR5pVWy2J7S/OudhTrade?node-id=203-17021" TargetMode="External" Id="rId32"/><Relationship Type="http://schemas.openxmlformats.org/officeDocument/2006/relationships/hyperlink" Target="https://www.figma.com/design/Kx3ECVqOwxbyR5pVWy2J7S/OudhTrade?node-id=203-17648" TargetMode="External" Id="rId33"/><Relationship Type="http://schemas.openxmlformats.org/officeDocument/2006/relationships/hyperlink" Target="https://www.figma.com/design/Kx3ECVqOwxbyR5pVWy2J7S/OudhTrade?node-id=203-18192" TargetMode="External" Id="rId34"/><Relationship Type="http://schemas.openxmlformats.org/officeDocument/2006/relationships/hyperlink" Target="https://www.figma.com/design/Kx3ECVqOwxbyR5pVWy2J7S/OudhTrade?node-id=138-29690" TargetMode="External" Id="rId35"/><Relationship Type="http://schemas.openxmlformats.org/officeDocument/2006/relationships/hyperlink" Target="https://www.figma.com/design/Kx3ECVqOwxbyR5pVWy2J7S/OudhTrade?node-id=283-38514" TargetMode="External" Id="rId36"/><Relationship Type="http://schemas.openxmlformats.org/officeDocument/2006/relationships/hyperlink" Target="https://www.figma.com/design/Kx3ECVqOwxbyR5pVWy2J7S/OudhTrade?node-id=275-36359" TargetMode="External" Id="rId37"/><Relationship Type="http://schemas.openxmlformats.org/officeDocument/2006/relationships/hyperlink" Target="https://www.figma.com/design/Kx3ECVqOwxbyR5pVWy2J7S/OudhTrade?node-id=152-32872" TargetMode="External" Id="rId38"/></Relationships>
</file>

<file path=xl/worksheets/_rels/sheet5.xml.rels><Relationships xmlns="http://schemas.openxmlformats.org/package/2006/relationships"><Relationship Type="http://schemas.openxmlformats.org/officeDocument/2006/relationships/hyperlink" Target="https://www.figma.com/design/Kx3ECVqOwxbyR5pVWy2J7S/OudhTrade?node-id=4-33" TargetMode="External" Id="rId1"/><Relationship Type="http://schemas.openxmlformats.org/officeDocument/2006/relationships/hyperlink" Target="https://www.figma.com/design/Kx3ECVqOwxbyR5pVWy2J7S/OudhTrade?node-id=4-879" TargetMode="External" Id="rId2"/><Relationship Type="http://schemas.openxmlformats.org/officeDocument/2006/relationships/hyperlink" Target="https://www.figma.com/design/Kx3ECVqOwxbyR5pVWy2J7S/OudhTrade?node-id=4-1168" TargetMode="External" Id="rId3"/><Relationship Type="http://schemas.openxmlformats.org/officeDocument/2006/relationships/hyperlink" Target="https://www.figma.com/design/Kx3ECVqOwxbyR5pVWy2J7S/OudhTrade?node-id=243-20259" TargetMode="External" Id="rId4"/><Relationship Type="http://schemas.openxmlformats.org/officeDocument/2006/relationships/hyperlink" Target="https://www.figma.com/design/Kx3ECVqOwxbyR5pVWy2J7S/OudhTrade?node-id=4-1298" TargetMode="External" Id="rId5"/><Relationship Type="http://schemas.openxmlformats.org/officeDocument/2006/relationships/hyperlink" Target="https://www.figma.com/design/Kx3ECVqOwxbyR5pVWy2J7S/OudhTrade?node-id=12-1763" TargetMode="External" Id="rId6"/><Relationship Type="http://schemas.openxmlformats.org/officeDocument/2006/relationships/hyperlink" Target="https://www.figma.com/design/Kx3ECVqOwxbyR5pVWy2J7S/OudhTrade?node-id=4-1717" TargetMode="External" Id="rId7"/><Relationship Type="http://schemas.openxmlformats.org/officeDocument/2006/relationships/hyperlink" Target="https://www.figma.com/design/Kx3ECVqOwxbyR5pVWy2J7S/OudhTrade?node-id=14-2034" TargetMode="External" Id="rId8"/><Relationship Type="http://schemas.openxmlformats.org/officeDocument/2006/relationships/hyperlink" Target="https://www.figma.com/design/Kx3ECVqOwxbyR5pVWy2J7S/OudhTrade?node-id=31-11491" TargetMode="External" Id="rId9"/><Relationship Type="http://schemas.openxmlformats.org/officeDocument/2006/relationships/hyperlink" Target="https://www.figma.com/design/Kx3ECVqOwxbyR5pVWy2J7S/OudhTrade?node-id=243-20531" TargetMode="External" Id="rId10"/><Relationship Type="http://schemas.openxmlformats.org/officeDocument/2006/relationships/hyperlink" Target="https://www.figma.com/design/Kx3ECVqOwxbyR5pVWy2J7S/OudhTrade?node-id=203-14859" TargetMode="External" Id="rId11"/><Relationship Type="http://schemas.openxmlformats.org/officeDocument/2006/relationships/hyperlink" Target="https://www.figma.com/design/Kx3ECVqOwxbyR5pVWy2J7S/OudhTrade?node-id=35-13095" TargetMode="External" Id="rId12"/><Relationship Type="http://schemas.openxmlformats.org/officeDocument/2006/relationships/hyperlink" Target="https://www.figma.com/design/Kx3ECVqOwxbyR5pVWy2J7S/OudhTrade?node-id=35-14373" TargetMode="External" Id="rId13"/><Relationship Type="http://schemas.openxmlformats.org/officeDocument/2006/relationships/hyperlink" Target="https://www.figma.com/design/Kx3ECVqOwxbyR5pVWy2J7S/OudhTrade?node-id=167-34800" TargetMode="External" Id="rId14"/><Relationship Type="http://schemas.openxmlformats.org/officeDocument/2006/relationships/hyperlink" Target="https://www.figma.com/design/Kx3ECVqOwxbyR5pVWy2J7S/OudhTrade?node-id=35-14802" TargetMode="External" Id="rId15"/><Relationship Type="http://schemas.openxmlformats.org/officeDocument/2006/relationships/hyperlink" Target="https://www.figma.com/design/Kx3ECVqOwxbyR5pVWy2J7S/OudhTrade?node-id=60-19803" TargetMode="External" Id="rId16"/><Relationship Type="http://schemas.openxmlformats.org/officeDocument/2006/relationships/hyperlink" Target="https://www.figma.com/design/Kx3ECVqOwxbyR5pVWy2J7S/OudhTrade?node-id=186-717" TargetMode="External" Id="rId17"/><Relationship Type="http://schemas.openxmlformats.org/officeDocument/2006/relationships/hyperlink" Target="https://www.figma.com/design/Kx3ECVqOwxbyR5pVWy2J7S/OudhTrade?node-id=275-36359" TargetMode="External" Id="rId18"/><Relationship Type="http://schemas.openxmlformats.org/officeDocument/2006/relationships/hyperlink" Target="https://www.figma.com/design/Kx3ECVqOwxbyR5pVWy2J7S/OudhTrade?node-id=35-15877" TargetMode="External" Id="rId19"/><Relationship Type="http://schemas.openxmlformats.org/officeDocument/2006/relationships/hyperlink" Target="https://www.figma.com/design/Kx3ECVqOwxbyR5pVWy2J7S/OudhTrade?node-id=256-28609" TargetMode="External" Id="rId20"/><Relationship Type="http://schemas.openxmlformats.org/officeDocument/2006/relationships/hyperlink" Target="https://www.figma.com/design/Kx3ECVqOwxbyR5pVWy2J7S/OudhTrade?node-id=35-16772" TargetMode="External" Id="rId21"/><Relationship Type="http://schemas.openxmlformats.org/officeDocument/2006/relationships/hyperlink" Target="https://www.figma.com/design/Kx3ECVqOwxbyR5pVWy2J7S/OudhTrade?node-id=152-32872" TargetMode="External" Id="rId22"/></Relationships>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30" customWidth="1" min="1" max="1"/>
    <col width="12" customWidth="1" min="2" max="2"/>
    <col width="12" customWidth="1" min="3" max="3"/>
    <col width="40" customWidth="1" min="4" max="4"/>
    <col width="40" customWidth="1" min="5" max="5"/>
  </cols>
  <sheetData>
    <row r="1">
      <c r="A1" s="1" t="inlineStr">
        <is>
          <t>OudhTrade — Figma sign-up and onboarding review</t>
        </is>
      </c>
    </row>
    <row r="2">
      <c r="A2" s="2" t="inlineStr">
        <is>
          <t>Figma file “OudhTrade”, page UI. Reviewed 24 Sep 2026 against M02-6, M03-2, M03-6, PRD and Glossary. Every comment now has the product owner’s decision (sheet “Decisions” and column H of “Review comments”). Sheet “Field map” shows where each screen field is stored (schema.table.column); “Field gaps” lists fields that had no database home, with the decision and its status; “Field coverage” checks each field against the database and UX documents. All decisions were applied to the project documents on 24 Sep 2026 (PRD, BRD, HLD, NFR, Master DB, Glossary, Module 1–3).</t>
        </is>
      </c>
    </row>
    <row r="3" ht="45" customHeight="1">
      <c r="A3" s="2" t="inlineStr">
        <is>
          <t>Scope: sign-in, role selection, sign-up, codes, consents, dashboards and profile set-up for Buyer (business and individual), Seller, Seller Individual, Company, Farmer, Inoculation Provider and Nursery. Not reviewed: Listing Flow, Documents Flow and the older frames at the top of the page.</t>
        </is>
      </c>
    </row>
    <row r="5">
      <c r="A5" s="3" t="inlineStr">
        <is>
          <t>Comments by severity</t>
        </is>
      </c>
    </row>
    <row r="6">
      <c r="A6" s="4" t="inlineStr">
        <is>
          <t>Severity</t>
        </is>
      </c>
      <c r="B6" s="4" t="inlineStr">
        <is>
          <t>Count</t>
        </is>
      </c>
      <c r="C6" s="4" t="inlineStr">
        <is>
          <t>Fixed</t>
        </is>
      </c>
    </row>
    <row r="7">
      <c r="A7" t="inlineStr">
        <is>
          <t>High</t>
        </is>
      </c>
      <c r="B7">
        <f>COUNTIF('Review comments'!E:E,"High")</f>
        <v/>
      </c>
      <c r="C7">
        <f>COUNTIFS('Review comments'!E:E,"High",'Review comments'!J:J,"Fixed")</f>
        <v/>
      </c>
    </row>
    <row r="8">
      <c r="A8" t="inlineStr">
        <is>
          <t>Medium</t>
        </is>
      </c>
      <c r="B8">
        <f>COUNTIF('Review comments'!E:E,"Medium")</f>
        <v/>
      </c>
      <c r="C8">
        <f>COUNTIFS('Review comments'!E:E,"Medium",'Review comments'!J:J,"Fixed")</f>
        <v/>
      </c>
    </row>
    <row r="9">
      <c r="A9" t="inlineStr">
        <is>
          <t>Low</t>
        </is>
      </c>
      <c r="B9">
        <f>COUNTIF('Review comments'!E:E,"Low")</f>
        <v/>
      </c>
      <c r="C9">
        <f>COUNTIFS('Review comments'!E:E,"Low",'Review comments'!J:J,"Fixed")</f>
        <v/>
      </c>
    </row>
    <row r="10">
      <c r="A10" s="3" t="inlineStr">
        <is>
          <t>Total</t>
        </is>
      </c>
      <c r="B10">
        <f>SUM(B7:B9)</f>
        <v/>
      </c>
      <c r="C10">
        <f>SUM(C7:C9)</f>
        <v/>
      </c>
    </row>
    <row r="12">
      <c r="A12" s="3" t="inlineStr">
        <is>
          <t>What is good in the designs</t>
        </is>
      </c>
    </row>
    <row r="13">
      <c r="A13" t="inlineStr">
        <is>
          <t>• Clean, warm visual style that fits agarwood; clear six-role picker with icons.</t>
        </is>
      </c>
    </row>
    <row r="14">
      <c r="A14" t="inlineStr">
        <is>
          <t>• Consents shown one per line with marketing off by default; button disabled until required boxes are ticked (frame 135:27944).</t>
        </is>
      </c>
    </row>
    <row r="15">
      <c r="A15" t="inlineStr">
        <is>
          <t>• Public / private chip on each field — a strong trust pattern; keep it.</t>
        </is>
      </c>
    </row>
    <row r="16">
      <c r="A16" t="inlineStr">
        <is>
          <t>• “Not approved” keeps everything else the user sent — matches our rule that only rejected items reopen.</t>
        </is>
      </c>
    </row>
    <row r="17">
      <c r="A17" t="inlineStr">
        <is>
          <t>• Farmer dashboard: “Farmer is always an individual account” and “Buyers looking for what you grow”.</t>
        </is>
      </c>
    </row>
    <row r="18">
      <c r="A18" t="inlineStr">
        <is>
          <t>• Inoculation Provider “Your Capability” screen: fixed lists, private service radius and capacity.</t>
        </is>
      </c>
    </row>
    <row r="19">
      <c r="A19" t="inlineStr">
        <is>
          <t>• Error states designed for codes and sign-up (invalid email / mobile, expired, sending failed).</t>
        </is>
      </c>
    </row>
    <row r="21">
      <c r="A21" s="3" t="inlineStr">
        <is>
          <t>Top changes before development</t>
        </is>
      </c>
    </row>
    <row r="22">
      <c r="A22" t="inlineStr">
        <is>
          <t>1. Never show contacts or identity data publicly (all Preview screens).</t>
        </is>
      </c>
    </row>
    <row r="23">
      <c r="A23" t="inlineStr">
        <is>
          <t>2. Seller, Company, Nursery, Inoculation Provider are business only — remove the Seller Individual flow.</t>
        </is>
      </c>
    </row>
    <row r="24">
      <c r="A24" t="inlineStr">
        <is>
          <t>3. Replace percentages with the “Finish setting up” card (Required to publish / Recommended for trust).</t>
        </is>
      </c>
    </row>
    <row r="25">
      <c r="A25" t="inlineStr">
        <is>
          <t>4. Add the identity check (DigiLocker / ID photo / selfie and alternatives) and the per-country document checklist.</t>
        </is>
      </c>
    </row>
    <row r="26">
      <c r="A26" t="inlineStr">
        <is>
          <t>5. Give buyers a 1-minute profile and their own home; farmers a simple-mode plantation flow.</t>
        </is>
      </c>
    </row>
    <row r="27">
      <c r="A27" t="inlineStr">
        <is>
          <t>6. Use our 10 badges plus the new “Export permitted”, “GST registered” and “Trusted” (R2); keep “verified” for identity and business checks.</t>
        </is>
      </c>
    </row>
    <row r="28">
      <c r="A28" t="inlineStr">
        <is>
          <t>7. Neutral sign-up message (no “already registered”); open sign-up from R1 with invitation screens for field agents, FPOs and our team. No “Beta” wording anywhere.</t>
        </is>
      </c>
    </row>
    <row r="29">
      <c r="A29" t="inlineStr">
        <is>
          <t>8. Follow the 8-step setup wizard with Required / Optional marks, the Documents dropdown with “Other document”, and My profile with section Edit buttons (25 Sep).</t>
        </is>
      </c>
    </row>
    <row r="30">
      <c r="A30" t="inlineStr">
        <is>
          <t>9. Add phone layouts before development; draw S13 / S14 as phone screens (25 Sep).</t>
        </is>
      </c>
    </row>
  </sheetData>
  <mergeCells count="18">
    <mergeCell ref="A30:E30"/>
    <mergeCell ref="A29:E29"/>
    <mergeCell ref="A26:E26"/>
    <mergeCell ref="A24:E24"/>
    <mergeCell ref="A2:E2"/>
    <mergeCell ref="A16:E16"/>
    <mergeCell ref="A15:E15"/>
    <mergeCell ref="A25:E25"/>
    <mergeCell ref="A28:E28"/>
    <mergeCell ref="A19:E19"/>
    <mergeCell ref="A23:E23"/>
    <mergeCell ref="A13:E13"/>
    <mergeCell ref="A14:E14"/>
    <mergeCell ref="A22:E22"/>
    <mergeCell ref="A17:E17"/>
    <mergeCell ref="A18:E18"/>
    <mergeCell ref="A27:E27"/>
    <mergeCell ref="A3:E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cols>
    <col width="5" customWidth="1" min="1" max="1"/>
    <col width="24" customWidth="1" min="2" max="2"/>
    <col width="120" customWidth="1" min="3" max="3"/>
  </cols>
  <sheetData>
    <row r="1">
      <c r="A1" s="4" t="inlineStr">
        <is>
          <t>#</t>
        </is>
      </c>
      <c r="B1" s="4" t="inlineStr">
        <is>
          <t>Topic</t>
        </is>
      </c>
      <c r="C1" s="4" t="inlineStr">
        <is>
          <t>Decision (product owner, 24–25 Sep 2026)</t>
        </is>
      </c>
    </row>
    <row r="2">
      <c r="A2" s="2" t="n">
        <v>1</v>
      </c>
      <c r="B2" s="2" t="inlineStr">
        <is>
          <t>Public profile</t>
        </is>
      </c>
      <c r="C2" s="2" t="inlineStr">
        <is>
          <t>Contacts (email, mobile, WhatsApp, contact person) are always private; buyers reach sellers through OudhTrade messages. Legal business name shown next to the store name. Registration numbers masked with “active”. Farmers: display name + district, tree type, tree count range and age; village and map pin private.</t>
        </is>
      </c>
    </row>
    <row r="3">
      <c r="A3" s="2" t="n">
        <v>2</v>
      </c>
      <c r="B3" s="2" t="inlineStr">
        <is>
          <t>Who is a business</t>
        </is>
      </c>
      <c r="C3" s="2" t="inlineStr">
        <is>
          <t>Seller, Company, Nursery and Inoculation Provider are business only (sole proprietors count). Remove the Individual/Business step and the Seller Individual flow. Buyer picks “For myself / For a business” at sign-up and can upgrade later.</t>
        </is>
      </c>
    </row>
    <row r="4">
      <c r="A4" s="2" t="n">
        <v>3</v>
      </c>
      <c r="B4" s="2" t="inlineStr">
        <is>
          <t>Duplicate contact</t>
        </is>
      </c>
      <c r="C4" s="2" t="inlineStr">
        <is>
          <t>Neutral message: “This number or email can’t be used for a new account. If it is yours, sign in or recover your account.” The owner gets a notice.</t>
        </is>
      </c>
    </row>
    <row r="5">
      <c r="A5" s="2" t="n">
        <v>4</v>
      </c>
      <c r="B5" s="2" t="inlineStr">
        <is>
          <t>Setup progress</t>
        </is>
      </c>
      <c r="C5" s="2" t="inlineStr">
        <is>
          <t>“Finish setting up” card with “Required to publish” and “Recommended for trust”. No percentages.</t>
        </is>
      </c>
    </row>
    <row r="6">
      <c r="A6" s="2" t="n">
        <v>5</v>
      </c>
      <c r="B6" s="2" t="inlineStr">
        <is>
          <t>Identity check</t>
        </is>
      </c>
      <c r="C6" s="2" t="inlineStr">
        <is>
          <t>Add screen S06: DigiLocker, ID photo, Aadhaar OTP when approved, live selfie (skipped when already proven), fallbacks (link, video call, field agent). No typing of ID numbers.</t>
        </is>
      </c>
    </row>
    <row r="7">
      <c r="A7" s="2" t="n">
        <v>6</v>
      </c>
      <c r="B7" s="2" t="inlineStr">
        <is>
          <t>Documents</t>
        </is>
      </c>
      <c r="C7" s="2" t="inlineStr">
        <is>
          <t>Checklist per role and country: one slot per document with sample, expiry, phone camera; PDF, JPG, PNG, HEIC/HEIF, WEBP; optional extra documents.</t>
        </is>
      </c>
    </row>
    <row r="8">
      <c r="A8" s="2" t="n">
        <v>7</v>
      </c>
      <c r="B8" s="2" t="inlineStr">
        <is>
          <t>Business details</t>
        </is>
      </c>
      <c r="C8" s="2" t="inlineStr">
        <is>
          <t>Follow S04: country of registration first; at least one registration number; registry check and auto-fill; store name vs legal name; authorised person with designation, relationship and proof; compliance declaration.</t>
        </is>
      </c>
    </row>
    <row r="9">
      <c r="A9" s="2" t="n">
        <v>8</v>
      </c>
      <c r="B9" s="2" t="inlineStr">
        <is>
          <t>Buyers</t>
        </is>
      </c>
      <c r="C9" s="2" t="inlineStr">
        <is>
          <t>1-minute buyer profile; Buyer home S16 (no listing tools); no date of birth, street address or ID in the profile; “Get Verified buyer” / “Get Business verified” are optional.</t>
        </is>
      </c>
    </row>
    <row r="10">
      <c r="A10" s="2" t="n">
        <v>9</v>
      </c>
      <c r="B10" s="2" t="inlineStr">
        <is>
          <t>Farmers</t>
        </is>
      </c>
      <c r="C10" s="2" t="inlineStr">
        <is>
          <t>Farmer simple mode S09 and farmer home S18 (keep “Buyers looking for what you grow”). Optional links step kept (website and social only, after verification).</t>
        </is>
      </c>
    </row>
    <row r="11">
      <c r="A11" s="2" t="n">
        <v>10</v>
      </c>
      <c r="B11" s="2" t="inlineStr">
        <is>
          <t>Badges</t>
        </is>
      </c>
      <c r="C11" s="2" t="inlineStr">
        <is>
          <t>Our 10 badges plus “Export permitted” (listing), “GST registered” and “Trusted” (from R2). Origin / tree / lab badges decided in Module 6. “Verified” only for identity and business checks.</t>
        </is>
      </c>
    </row>
    <row r="12">
      <c r="A12" s="2" t="n">
        <v>11</v>
      </c>
      <c r="B12" s="2" t="inlineStr">
        <is>
          <t>Sign-up access</t>
        </is>
      </c>
      <c r="C12" s="2" t="inlineStr">
        <is>
          <t>Open sign-up for everyone from R1. Invitations kept for field agents, FPOs and our team (role filled in). No waitlist. No “Beta” wording anywhere.</t>
        </is>
      </c>
    </row>
    <row r="13">
      <c r="A13" s="2" t="n">
        <v>12</v>
      </c>
      <c r="B13" s="2" t="inlineStr">
        <is>
          <t>Links</t>
        </is>
      </c>
      <c r="C13" s="2" t="inlineStr">
        <is>
          <t>Website, Instagram, Facebook, YouTube, LinkedIn; shown after verification; “Link confirmed” / “Checking”; no WhatsApp or phone links.</t>
        </is>
      </c>
    </row>
    <row r="14">
      <c r="A14" s="2" t="n">
        <v>13</v>
      </c>
      <c r="B14" s="2" t="inlineStr">
        <is>
          <t>Interests</t>
        </is>
      </c>
      <c r="C14" s="2" t="inlineStr">
        <is>
          <t>“What I buy” and “What I offer”; only role-allowed categories; top-level until Module 4; no “wild” options.</t>
        </is>
      </c>
    </row>
    <row r="15">
      <c r="A15" s="2" t="n">
        <v>14</v>
      </c>
      <c r="B15" s="2" t="inlineStr">
        <is>
          <t>Locations</t>
        </is>
      </c>
      <c r="C15" s="2" t="inlineStr">
        <is>
          <t>Keep Figma layout, photos and video; add “Use my registered address”, Landmark, our site types, “Only your city and state are shown”; map pin private.</t>
        </is>
      </c>
    </row>
    <row r="16">
      <c r="A16" s="2" t="n">
        <v>15</v>
      </c>
      <c r="B16" s="2" t="inlineStr">
        <is>
          <t>Review screens</t>
        </is>
      </c>
      <c r="C16" s="2" t="inlineStr">
        <is>
          <t>Submitted: dated ETA + “create listings now”. Result: “Changes needed” per document; “Business verified · as of {date}”; no sponsored placement in R1.</t>
        </is>
      </c>
    </row>
    <row r="17">
      <c r="A17" s="2" t="n">
        <v>16</v>
      </c>
      <c r="B17" s="2" t="inlineStr">
        <is>
          <t>Sign-in</t>
        </is>
      </c>
      <c r="C17" s="2" t="inlineStr">
        <is>
          <t>“Mobile number or email”, password show/hide, “Public or shared device”, Google + Apple, “Forgot password?”, “I can’t use my phone”, “New to OudhTrade? Create an account”.</t>
        </is>
      </c>
    </row>
    <row r="18">
      <c r="A18" s="2" t="n">
        <v>17</v>
      </c>
      <c r="B18" s="2" t="inlineStr">
        <is>
          <t>Sign-up form</t>
        </is>
      </c>
      <c r="C18" s="2" t="inlineStr">
        <is>
          <t>Full name, mobile with country code, email, account country, password with rules and show/hide (no confirm field), 18+, optional “How did you hear”, invitation code only via invite link.</t>
        </is>
      </c>
    </row>
    <row r="19">
      <c r="A19" s="2" t="n">
        <v>18</v>
      </c>
      <c r="B19" s="2" t="inlineStr">
        <is>
          <t>Consents</t>
        </is>
      </c>
      <c r="C19" s="2" t="inlineStr">
        <is>
          <t>Separate lines as in Figma, nothing pre-ticked, “Privacy Notice”, optional items off by default.</t>
        </is>
      </c>
    </row>
    <row r="20">
      <c r="A20" s="2" t="n">
        <v>19</v>
      </c>
      <c r="B20" s="2" t="inlineStr">
        <is>
          <t>Code screens</t>
        </is>
      </c>
      <c r="C20" s="2" t="inlineStr">
        <is>
          <t>M02 code screens in Figma’s style: never-share warning, resend timer, other channels (voice call in India, WhatsApp, SMS, email), tries left; the word “code”, never “OTP”.</t>
        </is>
      </c>
    </row>
    <row r="21">
      <c r="A21" s="2" t="n">
        <v>20</v>
      </c>
      <c r="B21" s="2" t="inlineStr">
        <is>
          <t>Words and menu</t>
        </is>
      </c>
      <c r="C21" s="2" t="inlineStr">
        <is>
          <t>sign in, dashboard, code, enquiries. Remove Orders, Bargains, Inventory, Customers. Hide features not built yet.</t>
        </is>
      </c>
    </row>
    <row r="22">
      <c r="A22" s="2" t="n">
        <v>21</v>
      </c>
      <c r="B22" s="2" t="inlineStr">
        <is>
          <t>End screens</t>
        </is>
      </c>
      <c r="C22" s="2" t="inlineStr">
        <is>
          <t>After sign-up go straight to the role dashboard. Plain error screens with a reference code; typed values kept.</t>
        </is>
      </c>
    </row>
    <row r="23">
      <c r="A23" s="2" t="n">
        <v>22</v>
      </c>
      <c r="B23" s="2" t="inlineStr">
        <is>
          <t>Role extras</t>
        </is>
      </c>
      <c r="C23" s="2" t="inlineStr">
        <is>
          <t>Company higher bar (company number, authority letter, Co-operative / FPO checkbox); Nursery licence slot and Nursery-only categories; Inoculation “Your Capability” says “growers” + capacity card on the dashboard.</t>
        </is>
      </c>
    </row>
    <row r="24">
      <c r="A24" s="2" t="n">
        <v>23</v>
      </c>
      <c r="B24" s="2" t="inlineStr">
        <is>
          <t>Code validity</t>
        </is>
      </c>
      <c r="C24" s="2" t="inlineStr">
        <is>
          <t>Codes are valid for 10 minutes.</t>
        </is>
      </c>
    </row>
    <row r="25">
      <c r="A25" s="2" t="n">
        <v>24</v>
      </c>
      <c r="B25" s="2" t="inlineStr">
        <is>
          <t>Contact hours</t>
        </is>
      </c>
      <c r="C25" s="2" t="inlineStr">
        <is>
          <t>Stored per location; shown publicly as “Usually available”; optional for farmers.</t>
        </is>
      </c>
    </row>
    <row r="26">
      <c r="A26" s="2" t="n">
        <v>25</v>
      </c>
      <c r="B26" s="2" t="inlineStr">
        <is>
          <t>Site photos and video</t>
        </is>
      </c>
      <c r="C26" s="2" t="inlineStr">
        <is>
          <t>2 photos and 1 short video per location; public after the photo safety check.</t>
        </is>
      </c>
    </row>
    <row r="27">
      <c r="A27" s="2" t="n">
        <v>26</v>
      </c>
      <c r="B27" s="2" t="inlineStr">
        <is>
          <t>IEC</t>
        </is>
      </c>
      <c r="C27" s="2" t="inlineStr">
        <is>
          <t>Export licence / IEC is a registration number (India), encrypted and masked; needed only for exporters.</t>
        </is>
      </c>
    </row>
    <row r="28">
      <c r="A28" s="2" t="n">
        <v>27</v>
      </c>
      <c r="B28" s="2" t="inlineStr">
        <is>
          <t>Farmer name and village</t>
        </is>
      </c>
      <c r="C28" s="2" t="inlineStr">
        <is>
          <t>Farmer chooses a public display name; village is kept on the private home address.</t>
        </is>
      </c>
    </row>
    <row r="29">
      <c r="A29" s="2" t="n">
        <v>28</v>
      </c>
      <c r="B29" s="2" t="inlineStr">
        <is>
          <t>Capability</t>
        </is>
      </c>
      <c r="C29" s="2" t="inlineStr">
        <is>
          <t>New capability details for Nursery and Inoculation Provider (techniques, species, coverage, service radius, capacity, notes). Capacity public as a range; exact figure and radius private.</t>
        </is>
      </c>
    </row>
    <row r="30">
      <c r="A30" s="2" t="n">
        <v>29</v>
      </c>
      <c r="B30" s="2" t="inlineStr">
        <is>
          <t>Name mismatch</t>
        </is>
      </c>
      <c r="C30" s="2" t="inlineStr">
        <is>
          <t>Private note (and optional document) for reviewers when the registered name and ID name differ.</t>
        </is>
      </c>
    </row>
    <row r="31">
      <c r="A31" s="2" t="n">
        <v>30</v>
      </c>
      <c r="B31" s="2" t="inlineStr">
        <is>
          <t>Other documents</t>
        </is>
      </c>
      <c r="C31" s="2" t="inlineStr">
        <is>
          <t>“Other document” slot allowed. The team reviews it and can add that document type to the country and role checklist, so the list grows.</t>
        </is>
      </c>
    </row>
    <row r="32">
      <c r="A32" s="2" t="n">
        <v>31</v>
      </c>
      <c r="B32" s="2" t="inlineStr">
        <is>
          <t>Link ownership</t>
        </is>
      </c>
      <c r="C32" s="2" t="inlineStr">
        <is>
          <t>Website by meta tag or file, social by a code in the bio; shows “Link confirmed”.</t>
        </is>
      </c>
    </row>
    <row r="33">
      <c r="A33" s="2" t="n">
        <v>32</v>
      </c>
      <c r="B33" s="2" t="inlineStr">
        <is>
          <t>Short bio</t>
        </is>
      </c>
      <c r="C33" s="2" t="inlineStr">
        <is>
          <t>Keep both: short bio (300, for cards and search) and description (1,000). Contact details removed from both.</t>
        </is>
      </c>
    </row>
    <row r="34">
      <c r="A34" s="2" t="n">
        <v>33</v>
      </c>
      <c r="B34" s="2" t="inlineStr">
        <is>
          <t>GST registered and Trusted</t>
        </is>
      </c>
      <c r="C34" s="2" t="inlineStr">
        <is>
          <t>New badge types: “GST registered” (automatic from an active GSTIN), “Trusted” (rules in M10, from R2).</t>
        </is>
      </c>
    </row>
    <row r="35">
      <c r="A35" s="2" t="n">
        <v>34</v>
      </c>
      <c r="B35" s="2" t="inlineStr">
        <is>
          <t>Market updates</t>
        </is>
      </c>
      <c r="C35" s="2" t="inlineStr">
        <is>
          <t>The tick means email updates only; SMS and WhatsApp updates are switches in Settings.</t>
        </is>
      </c>
    </row>
    <row r="36">
      <c r="A36" s="2" t="n">
        <v>35</v>
      </c>
      <c r="B36" s="2" t="inlineStr">
        <is>
          <t>Public facts</t>
        </is>
      </c>
      <c r="C36" s="2" t="inlineStr">
        <is>
          <t>Registration country, business size, site type and site label are public; address and map pin private.</t>
        </is>
      </c>
    </row>
    <row r="37">
      <c r="A37" s="2" t="n">
        <v>36</v>
      </c>
      <c r="B37" s="2" t="inlineStr">
        <is>
          <t>Code language</t>
        </is>
      </c>
      <c r="C37" s="2" t="inlineStr">
        <is>
          <t>Separate “Language for codes and calls”, defaulting to the app language.</t>
        </is>
      </c>
    </row>
    <row r="38">
      <c r="A38" s="2" t="n">
        <v>37</v>
      </c>
      <c r="B38" s="2" t="inlineStr">
        <is>
          <t>Technical fixes</t>
        </is>
      </c>
      <c r="C38" s="2" t="inlineStr">
        <is>
          <t>Encrypt plantation registration numbers; issuing authority for UAE licences; buyer city on the buyer profile; name stored once; X allowed as a link.</t>
        </is>
      </c>
    </row>
    <row r="39">
      <c r="A39" s="2" t="n">
        <v>38</v>
      </c>
      <c r="B39" s="2" t="inlineStr">
        <is>
          <t>Follow-up choices (applied)</t>
        </is>
      </c>
      <c r="C39" s="2" t="inlineStr">
        <is>
          <t>Waitlist table removed (Module 2 has 19 tables; about 172 in total). Founding Seller: the first {n} sellers verified within {months} after R1, automatic. FPOs can invite their member farmers. Marketing updates by SMS and by WhatsApp are two separate settings switches. In messages people see the profile name (store name, farmer display name, buyer name). Codes and calls can use their own language.</t>
        </is>
      </c>
    </row>
    <row r="40">
      <c r="A40" s="2" t="n">
        <v>39</v>
      </c>
      <c r="B40" s="2" t="inlineStr">
        <is>
          <t>Later updates (24 Sep, applied)</t>
        </is>
      </c>
      <c r="C40" s="2" t="inlineStr">
        <is>
          <t>PAN is private; public registrations are GSTIN, CIN/LLPIN, Udyam and IEC (masked, active). Farmer contact hours public and optional. Only role-allowed categories in “What I offer”. Companies must give a company number. Consent pop-ups for the document-check supplier, DigiLocker and Aadhaar. Photo shoot before R1. FPOs: 50 open invitations, Admin can raise. Sellers get a “Join OudhTrade” share link to their store instead of invitations. R2 is the “Full web release”; Year-1 KPIs count from R2.</t>
        </is>
      </c>
    </row>
    <row r="41">
      <c r="A41" s="2" t="n">
        <v>40</v>
      </c>
      <c r="B41" s="2" t="inlineStr">
        <is>
          <t>Seller dashboard and cleanup</t>
        </is>
      </c>
      <c r="C41" s="2" t="inlineStr">
        <is>
          <t>Keep Figma’s look and charts and add S17 content (status with ETA, Needs your attention, listing tabs, storefront, business summary, Buying). Fix titles, subtitles, spelling and sample data.</t>
        </is>
      </c>
    </row>
    <row r="42">
      <c r="A42" s="2" t="n">
        <v>41</v>
      </c>
      <c r="B42" s="2" t="inlineStr">
        <is>
          <t>Setup wizard (25 Sep)</t>
        </is>
      </c>
      <c r="C42" s="2" t="inlineStr">
        <is>
          <t>Keep your wizard as the main setup path. After sign-up the user lands on the dashboard; “Continue setup” on the “Finish setting up” card opens the next unfinished step. Every step is marked Required or Optional and has “Save and finish later”. Business roles: 1 Your profile info · 2 Business details · 3 Check your identity (NEW) · 4 What you offer · 5 Documents · 6 Business locations · 7 Bio, media &amp; links (optional) · 8 Preview &amp; send for review. Nursery and Inoculation Provider add “Your capability” after step 4. Buyers: 1-minute profile, no wizard. Farmers: simple wizard (4 steps).</t>
        </is>
      </c>
    </row>
    <row r="43">
      <c r="A43" s="2" t="n">
        <v>42</v>
      </c>
      <c r="B43" s="2" t="inlineStr">
        <is>
          <t>Profile strength (25 Sep)</t>
        </is>
      </c>
      <c r="C43" s="2" t="inlineStr">
        <is>
          <t>A dashboard card “Make your profile stronger”, shown only after all Required items are done (one card at a time). Each item opens the matching wizard step. No separate page. Buyers see only this card.</t>
        </is>
      </c>
    </row>
    <row r="44">
      <c r="A44" s="2" t="n">
        <v>43</v>
      </c>
      <c r="B44" s="2" t="inlineStr">
        <is>
          <t>Which role fits me? (25 Sep)</t>
        </is>
      </c>
      <c r="C44" s="2" t="inlineStr">
        <is>
          <t>One public page (/roles) and the same content as a side panel (desktop) / full-screen sheet (phone) from the sign-up role step; “Use this role” picks the card and keeps the form. Six role cards: For · You can · Limits · To get verified; a “Compare all roles” table; rules for everyone (every role can buy; one role per account; role changes are upgrades only, by request). No document list.</t>
        </is>
      </c>
    </row>
    <row r="45">
      <c r="A45" s="2" t="n">
        <v>44</v>
      </c>
      <c r="B45" s="2" t="inlineStr">
        <is>
          <t>Invitation screens (25 Sep)</t>
        </is>
      </c>
      <c r="C45" s="2" t="inlineStr">
        <is>
          <t>Draw: valid invitation landing; one “ended” layout (used / expired / cancelled / replaced — text changes); the “This isn’t my role” dialog with two choices: “Join without this invitation” or “Ask {inviter} for a new invitation”. Typed code only behind a small “I have an invitation code” link (farmers).</t>
        </is>
      </c>
    </row>
    <row r="46">
      <c r="A46" s="2" t="n">
        <v>45</v>
      </c>
      <c r="B46" s="2" t="inlineStr">
        <is>
          <t>Enhanced check S08 (25 Sep)</t>
        </is>
      </c>
      <c r="C46" s="2" t="inlineStr">
        <is>
          <t>Draw now. Not a wizard step: starts when a verified business seller chooses an Opportunity, land or business listing, or from the dashboard. Address proof, owners with 25 %+ (or “No one owns 25 % or more”), OPTIONAL bank check (India automatic; other countries: bank fields + upload a statement, deleted after review). No land rights proof (that is on the listing). Not for farmers.</t>
        </is>
      </c>
    </row>
    <row r="47">
      <c r="A47" s="2" t="n">
        <v>46</v>
      </c>
      <c r="B47" s="2" t="inlineStr">
        <is>
          <t>Role change S12 (25 Sep)</t>
        </is>
      </c>
      <c r="C47" s="2" t="inlineStr">
        <is>
          <t>Draw 3: role card in My profile, request screen with “What changes”, one status layout (in review / documents needed / approved / rejected). Allowed: Buyer → any selling role, Farmer → Seller, Seller / Nursery / Inoculation Provider → Company. A buyer asking to sell fills the new role’s wizard; one review.</t>
        </is>
      </c>
    </row>
    <row r="48">
      <c r="A48" s="2" t="n">
        <v>47</v>
      </c>
      <c r="B48" s="2" t="inlineStr">
        <is>
          <t>Field agent and FPO (25 Sep)</t>
        </is>
      </c>
      <c r="C48" s="2" t="inlineStr">
        <is>
          <t>Draw now. S13 assisted farmer check = 3 steps (See the ID → Declaration → Farmer’s code), no land paper; S13 and S14 (farm visit report) as PHONE screens with an offline banner; S15 FPO member list stays desktop.</t>
        </is>
      </c>
    </row>
    <row r="49">
      <c r="A49" s="2" t="n">
        <v>48</v>
      </c>
      <c r="B49" s="2" t="inlineStr">
        <is>
          <t>Phone layouts (25 Sep)</t>
        </is>
      </c>
      <c r="C49" s="2" t="inlineStr">
        <is>
          <t>Before development, add phone versions of sign-up, the setup wizard, the farmer wizard, the buyer profile, the dashboards and My profile. Desktop stays the main design.</t>
        </is>
      </c>
    </row>
    <row r="50">
      <c r="A50" s="2" t="n">
        <v>49</v>
      </c>
      <c r="B50" s="2" t="inlineStr">
        <is>
          <t>Away mode (25 Sep)</t>
        </is>
      </c>
      <c r="C50" s="2" t="inlineStr">
        <is>
          <t>Not in R1 (planned for R3). Don’t draw an away switch or “Away” labels now.</t>
        </is>
      </c>
    </row>
    <row r="51">
      <c r="A51" s="2" t="n">
        <v>50</v>
      </c>
      <c r="B51" s="2" t="inlineStr">
        <is>
          <t>Admin screens (25 Sep)</t>
        </is>
      </c>
      <c r="C51" s="2" t="inlineStr">
        <is>
          <t>Every staff and settings screen is fully specified now (see the “Admin screens” sheet); the team decides release timing. All use the Operations Console (M15) / Configuration Console (M16) layouts and the common settings pattern in M01-6 §12.1.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4" customWidth="1" min="3" max="3"/>
    <col width="14" customWidth="1" min="4" max="4"/>
    <col width="80" customWidth="1" min="5" max="5"/>
    <col width="30" customWidth="1" min="6" max="6"/>
    <col width="14" customWidth="1" min="7" max="7"/>
  </cols>
  <sheetData>
    <row r="1">
      <c r="A1" s="5" t="inlineStr">
        <is>
          <t>Module</t>
        </is>
      </c>
      <c r="B1" s="5" t="inlineStr">
        <is>
          <t>Spec section (M0x-6)</t>
        </is>
      </c>
      <c r="C1" s="5" t="inlineStr">
        <is>
          <t>Screen</t>
        </is>
      </c>
      <c r="D1" s="5" t="inlineStr">
        <is>
          <t>Type</t>
        </is>
      </c>
      <c r="E1" s="5" t="inlineStr">
        <is>
          <t>What it shows and allows</t>
        </is>
      </c>
      <c r="F1" s="5" t="inlineStr">
        <is>
          <t>Who can use it</t>
        </is>
      </c>
      <c r="G1" s="5" t="inlineStr">
        <is>
          <t>Designer status</t>
        </is>
      </c>
    </row>
    <row r="2">
      <c r="A2" s="6" t="inlineStr">
        <is>
          <t>M01</t>
        </is>
      </c>
      <c r="B2" s="6" t="inlineStr">
        <is>
          <t>12.1</t>
        </is>
      </c>
      <c r="C2" s="6" t="inlineStr">
        <is>
          <t>Changes (approvals)</t>
        </is>
      </c>
      <c r="D2" s="6" t="inlineStr">
        <is>
          <t>Settings screens</t>
        </is>
      </c>
      <c r="E2" s="6" t="inlineStr">
        <is>
          <t>Drafts waiting for my approval, scheduled, recent; approve / reject with reason; two levels: high-impact → a Super Admin who is not the editor, other → any other Admin</t>
        </is>
      </c>
      <c r="F2" s="6" t="inlineStr">
        <is>
          <t>Super Admin, Admin (Finance: own drafts)</t>
        </is>
      </c>
      <c r="G2" s="6" t="inlineStr">
        <is>
          <t>To design</t>
        </is>
      </c>
    </row>
    <row r="3">
      <c r="A3" s="6" t="inlineStr">
        <is>
          <t>M01</t>
        </is>
      </c>
      <c r="B3" s="6" t="inlineStr">
        <is>
          <t>12.2</t>
        </is>
      </c>
      <c r="C3" s="6" t="inlineStr">
        <is>
          <t>Settings editor</t>
        </is>
      </c>
      <c r="D3" s="6" t="inlineStr">
        <is>
          <t>Settings screens</t>
        </is>
      </c>
      <c r="E3" s="6" t="inlineStr">
        <is>
          <t>Values grouped by module, search, current vs default, overrides, preview impact, send for approval, schedule, history, roll back</t>
        </is>
      </c>
      <c r="F3" s="6" t="inlineStr">
        <is>
          <t>Super Admin, Admin</t>
        </is>
      </c>
      <c r="G3" s="6" t="inlineStr">
        <is>
          <t>To design</t>
        </is>
      </c>
    </row>
    <row r="4">
      <c r="A4" s="6" t="inlineStr">
        <is>
          <t>M01</t>
        </is>
      </c>
      <c r="B4" s="6" t="inlineStr">
        <is>
          <t>12.3</t>
        </is>
      </c>
      <c r="C4" s="6" t="inlineStr">
        <is>
          <t>Feature switches and overrides</t>
        </is>
      </c>
      <c r="D4" s="6" t="inlineStr">
        <is>
          <t>Settings screens</t>
        </is>
      </c>
      <c r="E4" s="6" t="inlineStr">
        <is>
          <t>Switch targets (release, environment, role, test accounts) and overrides by account list, role, plan, category, country</t>
        </is>
      </c>
      <c r="F4" s="6" t="inlineStr">
        <is>
          <t>Super Admin, Admin</t>
        </is>
      </c>
      <c r="G4" s="6" t="inlineStr">
        <is>
          <t>To design</t>
        </is>
      </c>
    </row>
    <row r="5">
      <c r="A5" s="6" t="inlineStr">
        <is>
          <t>M01</t>
        </is>
      </c>
      <c r="B5" s="6" t="inlineStr">
        <is>
          <t>12.4</t>
        </is>
      </c>
      <c r="C5" s="6" t="inlineStr">
        <is>
          <t>Country table</t>
        </is>
      </c>
      <c r="D5" s="6" t="inlineStr">
        <is>
          <t>Settings screens</t>
        </is>
      </c>
      <c r="E5" s="6" t="inlineStr">
        <is>
          <t>Per country: selling allowed, features, currency, default language, link to ID rules (M03 E2)</t>
        </is>
      </c>
      <c r="F5" s="6" t="inlineStr">
        <is>
          <t>Super Admin, Admin</t>
        </is>
      </c>
      <c r="G5" s="6" t="inlineStr">
        <is>
          <t>To design</t>
        </is>
      </c>
    </row>
    <row r="6">
      <c r="A6" s="6" t="inlineStr">
        <is>
          <t>M01</t>
        </is>
      </c>
      <c r="B6" s="6" t="inlineStr">
        <is>
          <t>12.5</t>
        </is>
      </c>
      <c r="C6" s="6" t="inlineStr">
        <is>
          <t>Reserved names</t>
        </is>
      </c>
      <c r="D6" s="6" t="inlineStr">
        <is>
          <t>Settings screens</t>
        </is>
      </c>
      <c r="E6" s="6" t="inlineStr">
        <is>
          <t>Reserved, banned and protected names; check against existing store names</t>
        </is>
      </c>
      <c r="F6" s="6" t="inlineStr">
        <is>
          <t>Super Admin, Admin</t>
        </is>
      </c>
      <c r="G6" s="6" t="inlineStr">
        <is>
          <t>To design</t>
        </is>
      </c>
    </row>
    <row r="7">
      <c r="A7" s="6" t="inlineStr">
        <is>
          <t>M01</t>
        </is>
      </c>
      <c r="B7" s="6" t="inlineStr">
        <is>
          <t>12.6</t>
        </is>
      </c>
      <c r="C7" s="6" t="inlineStr">
        <is>
          <t>Holiday calendar</t>
        </is>
      </c>
      <c r="D7" s="6" t="inlineStr">
        <is>
          <t>Settings screens</t>
        </is>
      </c>
      <c r="E7" s="6" t="inlineStr">
        <is>
          <t>Year view, add or import holidays, effect on service targets</t>
        </is>
      </c>
      <c r="F7" s="6" t="inlineStr">
        <is>
          <t>Super Admin, Admin</t>
        </is>
      </c>
      <c r="G7" s="6" t="inlineStr">
        <is>
          <t>To design</t>
        </is>
      </c>
    </row>
    <row r="8">
      <c r="A8" s="6" t="inlineStr">
        <is>
          <t>M01</t>
        </is>
      </c>
      <c r="B8" s="6" t="inlineStr">
        <is>
          <t>12.7</t>
        </is>
      </c>
      <c r="C8" s="6" t="inlineStr">
        <is>
          <t>Rate limits</t>
        </is>
      </c>
      <c r="D8" s="6" t="inlineStr">
        <is>
          <t>Settings screens</t>
        </is>
      </c>
      <c r="E8" s="6" t="inlineStr">
        <is>
          <t>Limit policies per endpoint group: limit, window, action</t>
        </is>
      </c>
      <c r="F8" s="6" t="inlineStr">
        <is>
          <t>Super Admin, Admin</t>
        </is>
      </c>
      <c r="G8" s="6" t="inlineStr">
        <is>
          <t>To design</t>
        </is>
      </c>
    </row>
    <row r="9">
      <c r="A9" s="6" t="inlineStr">
        <is>
          <t>M01</t>
        </is>
      </c>
      <c r="B9" s="6" t="inlineStr">
        <is>
          <t>12.8</t>
        </is>
      </c>
      <c r="C9" s="6" t="inlineStr">
        <is>
          <t>AI usage and budgets</t>
        </is>
      </c>
      <c r="D9" s="6" t="inlineStr">
        <is>
          <t>Settings screens</t>
        </is>
      </c>
      <c r="E9" s="6" t="inlineStr">
        <is>
          <t>Calls, tokens, cost vs budget per module and purpose; 80 % / 100 % alerts; pause state</t>
        </is>
      </c>
      <c r="F9" s="6" t="inlineStr">
        <is>
          <t>Super Admin, Admin, Finance</t>
        </is>
      </c>
      <c r="G9" s="6" t="inlineStr">
        <is>
          <t>To design</t>
        </is>
      </c>
    </row>
    <row r="10">
      <c r="A10" s="6" t="inlineStr">
        <is>
          <t>M01</t>
        </is>
      </c>
      <c r="B10" s="6" t="inlineStr">
        <is>
          <t>12.9</t>
        </is>
      </c>
      <c r="C10" s="6" t="inlineStr">
        <is>
          <t>Audit log viewer</t>
        </is>
      </c>
      <c r="D10" s="6" t="inlineStr">
        <is>
          <t>Staff screens</t>
        </is>
      </c>
      <c r="E10" s="6" t="inlineStr">
        <is>
          <t>Search by time, actor, action, target (scope by role); record detail with before/after and chain check; export by Super Admin with reason</t>
        </is>
      </c>
      <c r="F10" s="6" t="inlineStr">
        <is>
          <t>By role (AUD-005)</t>
        </is>
      </c>
      <c r="G10" s="6" t="inlineStr">
        <is>
          <t>To design</t>
        </is>
      </c>
    </row>
    <row r="11">
      <c r="A11" s="6" t="inlineStr">
        <is>
          <t>M01</t>
        </is>
      </c>
      <c r="B11" s="6" t="inlineStr">
        <is>
          <t>12.10</t>
        </is>
      </c>
      <c r="C11" s="6" t="inlineStr">
        <is>
          <t>Legal hold</t>
        </is>
      </c>
      <c r="D11" s="6" t="inlineStr">
        <is>
          <t>Staff screens</t>
        </is>
      </c>
      <c r="E11" s="6" t="inlineStr">
        <is>
          <t>Place / release a hold with reason and scope; list of holds</t>
        </is>
      </c>
      <c r="F11" s="6" t="inlineStr">
        <is>
          <t>Super Admin, Admin</t>
        </is>
      </c>
      <c r="G11" s="6" t="inlineStr">
        <is>
          <t>To design</t>
        </is>
      </c>
    </row>
    <row r="12">
      <c r="A12" s="6" t="inlineStr">
        <is>
          <t>M01</t>
        </is>
      </c>
      <c r="B12" s="6" t="inlineStr">
        <is>
          <t>12.11</t>
        </is>
      </c>
      <c r="C12" s="6" t="inlineStr">
        <is>
          <t>Failed jobs</t>
        </is>
      </c>
      <c r="D12" s="6" t="inlineStr">
        <is>
          <t>Staff screens</t>
        </is>
      </c>
      <c r="E12" s="6" t="inlineStr">
        <is>
          <t>Failed jobs list, error, retry, discard, bulk re-run</t>
        </is>
      </c>
      <c r="F12" s="6" t="inlineStr">
        <is>
          <t>Super Admin, Admin</t>
        </is>
      </c>
      <c r="G12" s="6" t="inlineStr">
        <is>
          <t>To design</t>
        </is>
      </c>
    </row>
    <row r="13">
      <c r="A13" s="6" t="inlineStr">
        <is>
          <t>M01</t>
        </is>
      </c>
      <c r="B13" s="6" t="inlineStr">
        <is>
          <t>12.12</t>
        </is>
      </c>
      <c r="C13" s="6" t="inlineStr">
        <is>
          <t>Retention policies</t>
        </is>
      </c>
      <c r="D13" s="6" t="inlineStr">
        <is>
          <t>Settings screens</t>
        </is>
      </c>
      <c r="E13" s="6" t="inlineStr">
        <is>
          <t>Data types, periods (never below legal minimum), legal basis, holds</t>
        </is>
      </c>
      <c r="F13" s="6" t="inlineStr">
        <is>
          <t>Super Admin</t>
        </is>
      </c>
      <c r="G13" s="6" t="inlineStr">
        <is>
          <t>To design</t>
        </is>
      </c>
    </row>
    <row r="14">
      <c r="A14" s="6" t="inlineStr">
        <is>
          <t>M01</t>
        </is>
      </c>
      <c r="B14" s="6" t="inlineStr">
        <is>
          <t>12.13</t>
        </is>
      </c>
      <c r="C14" s="6" t="inlineStr">
        <is>
          <t>Units and conversion factors</t>
        </is>
      </c>
      <c r="D14" s="6" t="inlineStr">
        <is>
          <t>Settings screens</t>
        </is>
      </c>
      <c r="E14" s="6" t="inlineStr">
        <is>
          <t>Units, factors, state land units (bigha, katha, lessa)</t>
        </is>
      </c>
      <c r="F14" s="6" t="inlineStr">
        <is>
          <t>Super Admin, Admin</t>
        </is>
      </c>
      <c r="G14" s="6" t="inlineStr">
        <is>
          <t>To design</t>
        </is>
      </c>
    </row>
    <row r="15">
      <c r="A15" s="6" t="inlineStr">
        <is>
          <t>M01</t>
        </is>
      </c>
      <c r="B15" s="6" t="inlineStr">
        <is>
          <t>12.14</t>
        </is>
      </c>
      <c r="C15" s="6" t="inlineStr">
        <is>
          <t>Photo location view (panel)</t>
        </is>
      </c>
      <c r="D15" s="6" t="inlineStr">
        <is>
          <t>Staff screens</t>
        </is>
      </c>
      <c r="E15" s="6" t="inlineStr">
        <is>
          <t>Private photo location after a reason; every view logged; opens from M03 screen A and M06</t>
        </is>
      </c>
      <c r="F15" s="6" t="inlineStr">
        <is>
          <t>Moderator with verification permission</t>
        </is>
      </c>
      <c r="G15" s="6" t="inlineStr">
        <is>
          <t>To design</t>
        </is>
      </c>
    </row>
    <row r="16">
      <c r="A16" s="6" t="inlineStr">
        <is>
          <t>M02</t>
        </is>
      </c>
      <c r="B16" s="6" t="inlineStr">
        <is>
          <t>12.1–12.2</t>
        </is>
      </c>
      <c r="C16" s="6" t="inlineStr">
        <is>
          <t>Partner consent · Connected apps (user)</t>
        </is>
      </c>
      <c r="D16" s="6" t="inlineStr">
        <is>
          <t>User screens</t>
        </is>
      </c>
      <c r="E16" s="6" t="inlineStr">
        <is>
          <t>Consent page for partner / AI-agent access; list of connected apps with revoke</t>
        </is>
      </c>
      <c r="F16" s="6" t="inlineStr">
        <is>
          <t>All users</t>
        </is>
      </c>
      <c r="G16" s="6" t="inlineStr">
        <is>
          <t>To design</t>
        </is>
      </c>
    </row>
    <row r="17">
      <c r="A17" s="6" t="inlineStr">
        <is>
          <t>M02</t>
        </is>
      </c>
      <c r="B17" s="6" t="inlineStr">
        <is>
          <t>20.1</t>
        </is>
      </c>
      <c r="C17" s="6" t="inlineStr">
        <is>
          <t>Account lookup</t>
        </is>
      </c>
      <c r="D17" s="6" t="inlineStr">
        <is>
          <t>Staff screens</t>
        </is>
      </c>
      <c r="E17" s="6" t="inlineStr">
        <is>
          <t>Search accounts; Support read-only summary; Admin actions only with an M12 decision; under-18 action; data-rights status</t>
        </is>
      </c>
      <c r="F17" s="6" t="inlineStr">
        <is>
          <t>Super Admin, Admin, Moderator, Support (view)</t>
        </is>
      </c>
      <c r="G17" s="6" t="inlineStr">
        <is>
          <t>To design</t>
        </is>
      </c>
    </row>
    <row r="18">
      <c r="A18" s="6" t="inlineStr">
        <is>
          <t>M02</t>
        </is>
      </c>
      <c r="B18" s="6" t="inlineStr">
        <is>
          <t>20.2</t>
        </is>
      </c>
      <c r="C18" s="6" t="inlineStr">
        <is>
          <t>Recovery and number-reclaim review</t>
        </is>
      </c>
      <c r="D18" s="6" t="inlineStr">
        <is>
          <t>Staff screens</t>
        </is>
      </c>
      <c r="E18" s="6" t="inlineStr">
        <is>
          <t>Queue; ID photo vs video side by side; checklist; approve / refuse with reason; Support opens cases and adds notes</t>
        </is>
      </c>
      <c r="F18" s="6" t="inlineStr">
        <is>
          <t>Super Admin, Admin (Support: open, note)</t>
        </is>
      </c>
      <c r="G18" s="6" t="inlineStr">
        <is>
          <t>To design</t>
        </is>
      </c>
    </row>
    <row r="19">
      <c r="A19" s="6" t="inlineStr">
        <is>
          <t>M02</t>
        </is>
      </c>
      <c r="B19" s="6" t="inlineStr">
        <is>
          <t>20.3</t>
        </is>
      </c>
      <c r="C19" s="6" t="inlineStr">
        <is>
          <t>Invitations admin</t>
        </is>
      </c>
      <c r="D19" s="6" t="inlineStr">
        <is>
          <t>Staff screens</t>
        </is>
      </c>
      <c r="E19" s="6" t="inlineStr">
        <is>
          <t>Create invitations (team, FPO, field agent), limits, resend, cancel, replace, role-request queue</t>
        </is>
      </c>
      <c r="F19" s="6" t="inlineStr">
        <is>
          <t>Super Admin, Admin</t>
        </is>
      </c>
      <c r="G19" s="6" t="inlineStr">
        <is>
          <t>To design</t>
        </is>
      </c>
    </row>
    <row r="20">
      <c r="A20" s="6" t="inlineStr">
        <is>
          <t>M02</t>
        </is>
      </c>
      <c r="B20" s="6" t="inlineStr">
        <is>
          <t>20.4</t>
        </is>
      </c>
      <c r="C20" s="6" t="inlineStr">
        <is>
          <t>Delegations overview</t>
        </is>
      </c>
      <c r="D20" s="6" t="inlineStr">
        <is>
          <t>Staff screens</t>
        </is>
      </c>
      <c r="E20" s="6" t="inlineStr">
        <is>
          <t>Active agent–farmer delegations, scopes, expiry, agent log; revoke with reason</t>
        </is>
      </c>
      <c r="F20" s="6" t="inlineStr">
        <is>
          <t>Super Admin, Admin</t>
        </is>
      </c>
      <c r="G20" s="6" t="inlineStr">
        <is>
          <t>To design</t>
        </is>
      </c>
    </row>
    <row r="21">
      <c r="A21" s="6" t="inlineStr">
        <is>
          <t>M02</t>
        </is>
      </c>
      <c r="B21" s="6" t="inlineStr">
        <is>
          <t>20.5</t>
        </is>
      </c>
      <c r="C21" s="6" t="inlineStr">
        <is>
          <t>Staff accounts and roles</t>
        </is>
      </c>
      <c r="D21" s="6" t="inlineStr">
        <is>
          <t>Staff screens</t>
        </is>
      </c>
      <c r="E21" s="6" t="inlineStr">
        <is>
          <t>Add staff, roles, Senior Moderator flag, video-call setting, security keys, leavers, quarterly access review, emergency accounts</t>
        </is>
      </c>
      <c r="F21" s="6" t="inlineStr">
        <is>
          <t>Super Admin</t>
        </is>
      </c>
      <c r="G21" s="6" t="inlineStr">
        <is>
          <t>To design</t>
        </is>
      </c>
    </row>
    <row r="22">
      <c r="A22" s="6" t="inlineStr">
        <is>
          <t>M02</t>
        </is>
      </c>
      <c r="B22" s="6" t="inlineStr">
        <is>
          <t>20.6</t>
        </is>
      </c>
      <c r="C22" s="6" t="inlineStr">
        <is>
          <t>Bulk security action</t>
        </is>
      </c>
      <c r="D22" s="6" t="inlineStr">
        <is>
          <t>Staff screens</t>
        </is>
      </c>
      <c r="E22" s="6" t="inlineStr">
        <is>
          <t>Scope, preview, second approver, progress, stop / retry</t>
        </is>
      </c>
      <c r="F22" s="6" t="inlineStr">
        <is>
          <t>Super Admin</t>
        </is>
      </c>
      <c r="G22" s="6" t="inlineStr">
        <is>
          <t>To design</t>
        </is>
      </c>
    </row>
    <row r="23">
      <c r="A23" s="6" t="inlineStr">
        <is>
          <t>M02</t>
        </is>
      </c>
      <c r="B23" s="6" t="inlineStr">
        <is>
          <t>20.7</t>
        </is>
      </c>
      <c r="C23" s="6" t="inlineStr">
        <is>
          <t>Throw-away email domain list</t>
        </is>
      </c>
      <c r="D23" s="6" t="inlineStr">
        <is>
          <t>Settings screens</t>
        </is>
      </c>
      <c r="E23" s="6" t="inlineStr">
        <is>
          <t>Add / remove domains with reason, import, test an address</t>
        </is>
      </c>
      <c r="F23" s="6" t="inlineStr">
        <is>
          <t>Super Admin, Admin</t>
        </is>
      </c>
      <c r="G23" s="6" t="inlineStr">
        <is>
          <t>To design</t>
        </is>
      </c>
    </row>
    <row r="24">
      <c r="A24" s="6" t="inlineStr">
        <is>
          <t>M02</t>
        </is>
      </c>
      <c r="B24" s="6" t="inlineStr">
        <is>
          <t>20.8</t>
        </is>
      </c>
      <c r="C24" s="6" t="inlineStr">
        <is>
          <t>Partner and AI-agent clients</t>
        </is>
      </c>
      <c r="D24" s="6" t="inlineStr">
        <is>
          <t>Staff screens</t>
        </is>
      </c>
      <c r="E24" s="6" t="inlineStr">
        <is>
          <t>Register client, scopes, issue / rotate / revoke keys, usage, suspend</t>
        </is>
      </c>
      <c r="F24" s="6" t="inlineStr">
        <is>
          <t>Super Admin, Admin</t>
        </is>
      </c>
      <c r="G24" s="6" t="inlineStr">
        <is>
          <t>To design</t>
        </is>
      </c>
    </row>
    <row r="25">
      <c r="A25" s="6" t="inlineStr">
        <is>
          <t>M02</t>
        </is>
      </c>
      <c r="B25" s="6" t="inlineStr">
        <is>
          <t>20.9</t>
        </is>
      </c>
      <c r="C25" s="6" t="inlineStr">
        <is>
          <t>Data-requests queue</t>
        </is>
      </c>
      <c r="D25" s="6" t="inlineStr">
        <is>
          <t>Staff screens</t>
        </is>
      </c>
      <c r="E25" s="6" t="inlineStr">
        <is>
          <t>Access, export, correction, erasure requests; due dates; legal hold link</t>
        </is>
      </c>
      <c r="F25" s="6" t="inlineStr">
        <is>
          <t>Super Admin, Admin</t>
        </is>
      </c>
      <c r="G25" s="6" t="inlineStr">
        <is>
          <t>To design</t>
        </is>
      </c>
    </row>
    <row r="26">
      <c r="A26" s="6" t="inlineStr">
        <is>
          <t>M03</t>
        </is>
      </c>
      <c r="B26" s="6" t="inlineStr">
        <is>
          <t>12.8–12.10</t>
        </is>
      </c>
      <c r="C26" s="6" t="inlineStr">
        <is>
          <t>Also active as · Partner application · Badge application (user)</t>
        </is>
      </c>
      <c r="D26" s="6" t="inlineStr">
        <is>
          <t>User screens</t>
        </is>
      </c>
      <c r="E26" s="6" t="inlineStr">
        <is>
          <t>Private extra roles; Partner programme application; apply for a staff-awarded badge</t>
        </is>
      </c>
      <c r="F26" s="6" t="inlineStr">
        <is>
          <t>Selling roles</t>
        </is>
      </c>
      <c r="G26" s="6" t="inlineStr">
        <is>
          <t>To design</t>
        </is>
      </c>
    </row>
    <row r="27">
      <c r="A27" s="6" t="inlineStr">
        <is>
          <t>M03</t>
        </is>
      </c>
      <c r="B27" s="6" t="inlineStr">
        <is>
          <t>16.1</t>
        </is>
      </c>
      <c r="C27" s="6" t="inlineStr">
        <is>
          <t>A — Verification review</t>
        </is>
      </c>
      <c r="D27" s="6" t="inlineStr">
        <is>
          <t>Staff screens</t>
        </is>
      </c>
      <c r="E27" s="6" t="inlineStr">
        <is>
          <t>Queue, case view, watermarked document viewer, translation panel, accept / reject per document, hold, decide, revoke</t>
        </is>
      </c>
      <c r="F27" s="6" t="inlineStr">
        <is>
          <t>Moderator (Senior flag for escalations)</t>
        </is>
      </c>
      <c r="G27" s="6" t="inlineStr">
        <is>
          <t>To design</t>
        </is>
      </c>
    </row>
    <row r="28">
      <c r="A28" s="6" t="inlineStr">
        <is>
          <t>M03</t>
        </is>
      </c>
      <c r="B28" s="6" t="inlineStr">
        <is>
          <t>16.3</t>
        </is>
      </c>
      <c r="C28" s="6" t="inlineStr">
        <is>
          <t>B — Role change decision</t>
        </is>
      </c>
      <c r="D28" s="6" t="inlineStr">
        <is>
          <t>Staff screens</t>
        </is>
      </c>
      <c r="E28" s="6" t="inlineStr">
        <is>
          <t>Request, impact, new role's documents; combined buyer→seller case with Moderator recommendation</t>
        </is>
      </c>
      <c r="F28" s="6" t="inlineStr">
        <is>
          <t>Admin, Super Admin</t>
        </is>
      </c>
      <c r="G28" s="6" t="inlineStr">
        <is>
          <t>To design</t>
        </is>
      </c>
    </row>
    <row r="29">
      <c r="A29" s="6" t="inlineStr">
        <is>
          <t>M03</t>
        </is>
      </c>
      <c r="B29" s="6" t="inlineStr">
        <is>
          <t>16.4</t>
        </is>
      </c>
      <c r="C29" s="6" t="inlineStr">
        <is>
          <t>C — Farm visit review</t>
        </is>
      </c>
      <c r="D29" s="6" t="inlineStr">
        <is>
          <t>Staff screens</t>
        </is>
      </c>
      <c r="E29" s="6" t="inlineStr">
        <is>
          <t>Photos (original vs face-blurred), GPS, counts, checklist, approve / reject / mark false</t>
        </is>
      </c>
      <c r="F29" s="6" t="inlineStr">
        <is>
          <t>Moderator</t>
        </is>
      </c>
      <c r="G29" s="6" t="inlineStr">
        <is>
          <t>To design</t>
        </is>
      </c>
    </row>
    <row r="30">
      <c r="A30" s="6" t="inlineStr">
        <is>
          <t>M03</t>
        </is>
      </c>
      <c r="B30" s="6" t="inlineStr">
        <is>
          <t>16.5</t>
        </is>
      </c>
      <c r="C30" s="6" t="inlineStr">
        <is>
          <t>Other-document report</t>
        </is>
      </c>
      <c r="D30" s="6" t="inlineStr">
        <is>
          <t>Staff screens</t>
        </is>
      </c>
      <c r="E30" s="6" t="inlineStr">
        <is>
          <t>Frequent “Other” document titles by country and role; Add to checklist (opens E1)</t>
        </is>
      </c>
      <c r="F30" s="6" t="inlineStr">
        <is>
          <t>Admin</t>
        </is>
      </c>
      <c r="G30" s="6" t="inlineStr">
        <is>
          <t>To design</t>
        </is>
      </c>
    </row>
    <row r="31">
      <c r="A31" s="6" t="inlineStr">
        <is>
          <t>M03</t>
        </is>
      </c>
      <c r="B31" s="6" t="inlineStr">
        <is>
          <t>16.6</t>
        </is>
      </c>
      <c r="C31" s="6" t="inlineStr">
        <is>
          <t>Staff-awarded badges</t>
        </is>
      </c>
      <c r="D31" s="6" t="inlineStr">
        <is>
          <t>Staff screens</t>
        </is>
      </c>
      <c r="E31" s="6" t="inlineStr">
        <is>
          <t>Badge applications list and decisions</t>
        </is>
      </c>
      <c r="F31" s="6" t="inlineStr">
        <is>
          <t>Admin</t>
        </is>
      </c>
      <c r="G31" s="6" t="inlineStr">
        <is>
          <t>To design</t>
        </is>
      </c>
    </row>
    <row r="32">
      <c r="A32" s="6" t="inlineStr">
        <is>
          <t>M03</t>
        </is>
      </c>
      <c r="B32" s="6" t="inlineStr">
        <is>
          <t>16.7–16.12</t>
        </is>
      </c>
      <c r="C32" s="6" t="inlineStr">
        <is>
          <t>Settings editors E1–E6</t>
        </is>
      </c>
      <c r="D32" s="6" t="inlineStr">
        <is>
          <t>Settings screens</t>
        </is>
      </c>
      <c r="E32" s="6" t="inlineStr">
        <is>
          <t>Document checklists · Business ID rules · Rejection reasons · Setup card items · Role paths and bands · Badge types</t>
        </is>
      </c>
      <c r="F32" s="6" t="inlineStr">
        <is>
          <t>Super Admin, Admin (approval by level)</t>
        </is>
      </c>
      <c r="G32" s="6" t="inlineStr">
        <is>
          <t>To design</t>
        </is>
      </c>
    </row>
    <row r="33">
      <c r="A33" s="6" t="inlineStr">
        <is>
          <t>M03</t>
        </is>
      </c>
      <c r="B33" s="6" t="inlineStr">
        <is>
          <t>16.13</t>
        </is>
      </c>
      <c r="C33" s="6" t="inlineStr">
        <is>
          <t>Sanctions batch and match review</t>
        </is>
      </c>
      <c r="D33" s="6" t="inlineStr">
        <is>
          <t>Staff screens</t>
        </is>
      </c>
      <c r="E33" s="6" t="inlineStr">
        <is>
          <t>Weekly batch, possible matches, clear / confirm</t>
        </is>
      </c>
      <c r="F33" s="6" t="inlineStr">
        <is>
          <t>Senior Moderator</t>
        </is>
      </c>
      <c r="G33" s="6" t="inlineStr">
        <is>
          <t>To design</t>
        </is>
      </c>
    </row>
    <row r="34">
      <c r="A34" s="6" t="inlineStr">
        <is>
          <t>M03</t>
        </is>
      </c>
      <c r="B34" s="6" t="inlineStr">
        <is>
          <t>16.14</t>
        </is>
      </c>
      <c r="C34" s="6" t="inlineStr">
        <is>
          <t>Enhanced-check review</t>
        </is>
      </c>
      <c r="D34" s="6" t="inlineStr">
        <is>
          <t>Staff screens</t>
        </is>
      </c>
      <c r="E34" s="6" t="inlineStr">
        <is>
          <t>Address proof, owners, manual bank statement in screen A case view</t>
        </is>
      </c>
      <c r="F34" s="6" t="inlineStr">
        <is>
          <t>Moderator</t>
        </is>
      </c>
      <c r="G34" s="6" t="inlineStr">
        <is>
          <t>To design</t>
        </is>
      </c>
    </row>
    <row r="35">
      <c r="A35" s="6" t="inlineStr">
        <is>
          <t>M03</t>
        </is>
      </c>
      <c r="B35" s="6" t="inlineStr">
        <is>
          <t>16.15</t>
        </is>
      </c>
      <c r="C35" s="6" t="inlineStr">
        <is>
          <t>Agent and FPO quality re-checks</t>
        </is>
      </c>
      <c r="D35" s="6" t="inlineStr">
        <is>
          <t>Staff screens</t>
        </is>
      </c>
      <c r="E35" s="6" t="inlineStr">
        <is>
          <t>Random re-checks, results, suspend agent or FPO</t>
        </is>
      </c>
      <c r="F35" s="6" t="inlineStr">
        <is>
          <t>Moderator, Admin</t>
        </is>
      </c>
      <c r="G35" s="6" t="inlineStr">
        <is>
          <t>To design</t>
        </is>
      </c>
    </row>
    <row r="36">
      <c r="A36" s="6" t="inlineStr">
        <is>
          <t>M03</t>
        </is>
      </c>
      <c r="B36" s="6" t="inlineStr">
        <is>
          <t>16.16</t>
        </is>
      </c>
      <c r="C36" s="6" t="inlineStr">
        <is>
          <t>Field agents</t>
        </is>
      </c>
      <c r="D36" s="6" t="inlineStr">
        <is>
          <t>Staff screens</t>
        </is>
      </c>
      <c r="E36" s="6" t="inlineStr">
        <is>
          <t>Approve, regions, suspend, reassign farmers</t>
        </is>
      </c>
      <c r="F36" s="6" t="inlineStr">
        <is>
          <t>Admin</t>
        </is>
      </c>
      <c r="G36" s="6" t="inlineStr">
        <is>
          <t>To design</t>
        </is>
      </c>
    </row>
    <row r="37">
      <c r="A37" s="6" t="inlineStr">
        <is>
          <t>M03</t>
        </is>
      </c>
      <c r="B37" s="6" t="inlineStr">
        <is>
          <t>16.17</t>
        </is>
      </c>
      <c r="C37" s="6" t="inlineStr">
        <is>
          <t>Farm-visit queue by district</t>
        </is>
      </c>
      <c r="D37" s="6" t="inlineStr">
        <is>
          <t>Staff screens</t>
        </is>
      </c>
      <c r="E37" s="6" t="inlineStr">
        <is>
          <t>Visits due by district, assign, re-visits</t>
        </is>
      </c>
      <c r="F37" s="6" t="inlineStr">
        <is>
          <t>Moderator, Admin</t>
        </is>
      </c>
      <c r="G37" s="6" t="inlineStr">
        <is>
          <t>To design</t>
        </is>
      </c>
    </row>
    <row r="38">
      <c r="A38" s="6" t="inlineStr">
        <is>
          <t>M03</t>
        </is>
      </c>
      <c r="B38" s="6" t="inlineStr">
        <is>
          <t>16.18</t>
        </is>
      </c>
      <c r="C38" s="6" t="inlineStr">
        <is>
          <t>Video-call ID checks</t>
        </is>
      </c>
      <c r="D38" s="6" t="inlineStr">
        <is>
          <t>Staff screens</t>
        </is>
      </c>
      <c r="E38" s="6" t="inlineStr">
        <is>
          <t>Book same-gender call, run check, outcome</t>
        </is>
      </c>
      <c r="F38" s="6" t="inlineStr">
        <is>
          <t>Moderator</t>
        </is>
      </c>
      <c r="G38" s="6" t="inlineStr">
        <is>
          <t>To design</t>
        </is>
      </c>
    </row>
    <row r="39">
      <c r="A39" s="6" t="inlineStr">
        <is>
          <t>M03</t>
        </is>
      </c>
      <c r="B39" s="6" t="inlineStr">
        <is>
          <t>16.19</t>
        </is>
      </c>
      <c r="C39" s="6" t="inlineStr">
        <is>
          <t>Lab accreditation review</t>
        </is>
      </c>
      <c r="D39" s="6" t="inlineStr">
        <is>
          <t>Staff screens</t>
        </is>
      </c>
      <c r="E39" s="6" t="inlineStr">
        <is>
          <t>Accreditation evidence, approve / reject</t>
        </is>
      </c>
      <c r="F39" s="6" t="inlineStr">
        <is>
          <t>Moderator</t>
        </is>
      </c>
      <c r="G39" s="6" t="inlineStr">
        <is>
          <t>To design</t>
        </is>
      </c>
    </row>
    <row r="40">
      <c r="A40" s="6" t="inlineStr">
        <is>
          <t>M03</t>
        </is>
      </c>
      <c r="B40" s="6" t="inlineStr">
        <is>
          <t>16.20</t>
        </is>
      </c>
      <c r="C40" s="6" t="inlineStr">
        <is>
          <t>Partner programme review</t>
        </is>
      </c>
      <c r="D40" s="6" t="inlineStr">
        <is>
          <t>Staff screens</t>
        </is>
      </c>
      <c r="E40" s="6" t="inlineStr">
        <is>
          <t>Applications, checks, approve / reject</t>
        </is>
      </c>
      <c r="F40" s="6" t="inlineStr">
        <is>
          <t>Admin</t>
        </is>
      </c>
      <c r="G40" s="6" t="inlineStr">
        <is>
          <t>To design</t>
        </is>
      </c>
    </row>
    <row r="41">
      <c r="A41" s="6" t="inlineStr">
        <is>
          <t>M03</t>
        </is>
      </c>
      <c r="B41" s="6" t="inlineStr">
        <is>
          <t>16.21</t>
        </is>
      </c>
      <c r="C41" s="6" t="inlineStr">
        <is>
          <t>Support profile and case view</t>
        </is>
      </c>
      <c r="D41" s="6" t="inlineStr">
        <is>
          <t>Staff screens</t>
        </is>
      </c>
      <c r="E41" s="6" t="inlineStr">
        <is>
          <t>Read-only profile and case status for Support</t>
        </is>
      </c>
      <c r="F41" s="6" t="inlineStr">
        <is>
          <t>Support (read-only)</t>
        </is>
      </c>
      <c r="G41" s="6" t="inlineStr">
        <is>
          <t>To design</t>
        </is>
      </c>
    </row>
  </sheetData>
  <autoFilter ref="A1:G41"/>
  <dataValidations count="1">
    <dataValidation sqref="G2:G41" showDropDown="0" showInputMessage="0" showErrorMessage="0" allowBlank="1" type="list">
      <formula1>"To design,In progress,Done"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0"/>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28" customWidth="1" min="3" max="3"/>
    <col width="13" customWidth="1" min="4" max="4"/>
    <col width="10" customWidth="1" min="5" max="5"/>
    <col width="55" customWidth="1" min="6" max="6"/>
    <col width="60" customWidth="1" min="7" max="7"/>
    <col width="50" customWidth="1" min="8" max="8"/>
    <col width="28" customWidth="1" min="9" max="9"/>
    <col width="12" customWidth="1" min="10" max="10"/>
    <col width="30" customWidth="1" min="11" max="11"/>
  </cols>
  <sheetData>
    <row r="1">
      <c r="A1" s="7" t="inlineStr">
        <is>
          <t>#</t>
        </is>
      </c>
      <c r="B1" s="7" t="inlineStr">
        <is>
          <t>Flow</t>
        </is>
      </c>
      <c r="C1" s="7" t="inlineStr">
        <is>
          <t>Screen</t>
        </is>
      </c>
      <c r="D1" s="7" t="inlineStr">
        <is>
          <t>Figma frame</t>
        </is>
      </c>
      <c r="E1" s="7" t="inlineStr">
        <is>
          <t>Severity</t>
        </is>
      </c>
      <c r="F1" s="7" t="inlineStr">
        <is>
          <t>What we found</t>
        </is>
      </c>
      <c r="G1" s="7" t="inlineStr">
        <is>
          <t>What to change</t>
        </is>
      </c>
      <c r="H1" s="7" t="inlineStr">
        <is>
          <t>Product owner decision (24–25 Sep 2026)</t>
        </is>
      </c>
      <c r="I1" s="7" t="inlineStr">
        <is>
          <t>Our reference</t>
        </is>
      </c>
      <c r="J1" s="7" t="inlineStr">
        <is>
          <t>Status</t>
        </is>
      </c>
      <c r="K1" s="7" t="inlineStr">
        <is>
          <t>Designer notes</t>
        </is>
      </c>
    </row>
    <row r="2">
      <c r="A2" s="6" t="n">
        <v>1</v>
      </c>
      <c r="B2" s="6" t="inlineStr">
        <is>
          <t>All flows</t>
        </is>
      </c>
      <c r="C2" s="6" t="inlineStr">
        <is>
          <t>Preview (all roles)</t>
        </is>
      </c>
      <c r="D2" s="8" t="inlineStr">
        <is>
          <t>35:15877</t>
        </is>
      </c>
      <c r="E2" s="9" t="inlineStr">
        <is>
          <t>High</t>
        </is>
      </c>
      <c r="F2" s="6" t="inlineStr">
        <is>
          <t>Preview marks Email, Mobile, WhatsApp and Contact person as PUBLIC (business roles). For individual buyer and farmer it marks full legal name, date of birth, street address, PIN code, ID type, ID number, ID document and verification selfie as PUBLIC. This contradicts the screen's own note ("Legal name, ID number, date of birth and street address appear nowhere").</t>
        </is>
      </c>
      <c r="G2" s="6" t="inlineStr">
        <is>
          <t>Contacts and identity data are never public. Public: store name, role, city/state/country, badges with “as of” dates, year started, languages, what you offer/buy, description. Buyers reach sellers only through OudhTrade messaging. Label private fields “Buyers never see this”.</t>
        </is>
      </c>
      <c r="H2" s="6" t="inlineStr">
        <is>
          <t>Agreed. Contacts always private (buyers use OudhTrade messages). Show the legal business name next to the store name. Registration numbers masked with “active”. Farmers: display name + district, tree type, tree count range and age; village and map pin private.</t>
        </is>
      </c>
      <c r="I2" s="6" t="inlineStr">
        <is>
          <t>PRD-ROL-010; M03-2 §12.1; M03-6 §15 and §2 (Say what is public)</t>
        </is>
      </c>
      <c r="J2" s="10" t="inlineStr">
        <is>
          <t>To update</t>
        </is>
      </c>
      <c r="K2" s="10" t="inlineStr"/>
    </row>
    <row r="3">
      <c r="A3" s="6" t="n">
        <v>2</v>
      </c>
      <c r="B3" s="6" t="inlineStr">
        <is>
          <t>All flows</t>
        </is>
      </c>
      <c r="C3" s="6" t="inlineStr">
        <is>
          <t>Create account — error</t>
        </is>
      </c>
      <c r="D3" s="8" t="inlineStr">
        <is>
          <t>464:13604</t>
        </is>
      </c>
      <c r="E3" s="9" t="inlineStr">
        <is>
          <t>High</t>
        </is>
      </c>
      <c r="F3" s="6" t="inlineStr">
        <is>
          <t>Message “Email/mobile already registered” tells anyone whether an account exists (account-enumeration risk).</t>
        </is>
      </c>
      <c r="G3" s="6" t="inlineStr">
        <is>
          <t>Use the neutral message: “This number or email can’t be used for a new account. If it is yours, sign in or recover your account.” Links: Sign in · Recover my account. For a mobile number add “Is this number new to you? Ask us to release it”.</t>
        </is>
      </c>
      <c r="H3" s="6" t="inlineStr">
        <is>
          <t>Agreed: neutral message; the real owner gets a notice.</t>
        </is>
      </c>
      <c r="I3" s="6" t="inlineStr">
        <is>
          <t>M02-6 §2 and §4; M02-6 §7.1 (reclaim)</t>
        </is>
      </c>
      <c r="J3" s="10" t="inlineStr">
        <is>
          <t>To update</t>
        </is>
      </c>
      <c r="K3" s="10" t="inlineStr"/>
    </row>
    <row r="4">
      <c r="A4" s="6" t="n">
        <v>3</v>
      </c>
      <c r="B4" s="6" t="inlineStr">
        <is>
          <t>All flows</t>
        </is>
      </c>
      <c r="C4" s="6" t="inlineStr">
        <is>
          <t>How do you trade? (Seller) + whole Seller Individual flow</t>
        </is>
      </c>
      <c r="D4" s="8" t="inlineStr">
        <is>
          <t>4:1168</t>
        </is>
      </c>
      <c r="E4" s="9" t="inlineStr">
        <is>
          <t>High</t>
        </is>
      </c>
      <c r="F4" s="6" t="inlineStr">
        <is>
          <t>Seller can choose Individual or Business, and a full “Seller Individual” flow exists (row y≈1494).</t>
        </is>
      </c>
      <c r="G4" s="6" t="inlineStr">
        <is>
          <t>Seller is business only. Sole proprietors count as a business (GSTIN, Udyam or Udyam Assist). Remove the Individual/Business step for Seller, Company, Nursery and Inoculation Provider and delete the Seller Individual flow. Keep the choice only for Buyer (“For myself · For a business”).</t>
        </is>
      </c>
      <c r="H4" s="6" t="inlineStr">
        <is>
          <t>Agreed: Seller, Company, Nursery and Inoculation Provider are business only. Remove the step and the Seller Individual flow. Buyer picks “For myself / For a business” at sign-up.</t>
        </is>
      </c>
      <c r="I4" s="6" t="inlineStr">
        <is>
          <t>Decision “Seller is business only” (sole traders R4); M02-6 §4 role line; M03-6 §4</t>
        </is>
      </c>
      <c r="J4" s="10" t="inlineStr">
        <is>
          <t>To update</t>
        </is>
      </c>
      <c r="K4" s="10" t="inlineStr"/>
    </row>
    <row r="5">
      <c r="A5" s="6" t="n">
        <v>4</v>
      </c>
      <c r="B5" s="6" t="inlineStr">
        <is>
          <t>All flows</t>
        </is>
      </c>
      <c r="C5" s="6" t="inlineStr">
        <is>
          <t>Dashboards and setup card</t>
        </is>
      </c>
      <c r="D5" s="8" t="inlineStr">
        <is>
          <t>31:11491</t>
        </is>
      </c>
      <c r="E5" s="9" t="inlineStr">
        <is>
          <t>High</t>
        </is>
      </c>
      <c r="F5" s="6" t="inlineStr">
        <is>
          <t>Progress shown as percentages (“Profile setup 25% · 1 of 4 steps”, “Verification 64% complete”).</t>
        </is>
      </c>
      <c r="G5" s="6" t="inlineStr">
        <is>
          <t>Use the “Finish setting up” card: items left in two groups, “Required to publish” and “Recommended for trust”. Never a percentage or progress bar. Each item shows time needed and what to have ready. When all Required items are done the card disappears for good.</t>
        </is>
      </c>
      <c r="H5" s="6" t="inlineStr">
        <is>
          <t>Agreed: “Finish setting up” card, no percentages.</t>
        </is>
      </c>
      <c r="I5" s="6" t="inlineStr">
        <is>
          <t>M03-2 DSH-010 to DSH-015; M03-6 §3.1</t>
        </is>
      </c>
      <c r="J5" s="10" t="inlineStr">
        <is>
          <t>To update</t>
        </is>
      </c>
      <c r="K5" s="10" t="inlineStr"/>
    </row>
    <row r="6">
      <c r="A6" s="6" t="n">
        <v>5</v>
      </c>
      <c r="B6" s="6" t="inlineStr">
        <is>
          <t>All flows</t>
        </is>
      </c>
      <c r="C6" s="6" t="inlineStr">
        <is>
          <t>Badges and the word “verified”</t>
        </is>
      </c>
      <c r="D6" s="8" t="inlineStr">
        <is>
          <t>31:11491</t>
        </is>
      </c>
      <c r="E6" s="9" t="inlineStr">
        <is>
          <t>High</t>
        </is>
      </c>
      <c r="F6" s="6" t="inlineStr">
        <is>
          <t>Badges and labels not in our list: Verified Origin, Tree Registration, Lab Tested, Export Permitted, Trusted, “GST-verified badge”, “Sites verified 3 of 4”, “Website VERIFIED”. “Verified” is used for documents, links and sites.</t>
        </is>
      </c>
      <c r="G6" s="6" t="inlineStr">
        <is>
          <t>Use only our 10 badges: Business verified, Verified farmer, Verified buyer, Co-operative / FPO, Women-led enterprise (self-declared), Founding Seller, Enhanced check passed, Farm visited, Accredited lab, OudhTrade Partner. “Verified” is used only for identity and business checks. Listing proofs (origin records, lab reports, CITES permits) belong to listings (M05/M06) and read “on file — reviewed, not authenticated”.</t>
        </is>
      </c>
      <c r="H6" s="11" t="inlineStr">
        <is>
          <t>CHANGED: keep our 10 badges and ADD “Export permitted” (listing badge: CITES / DGFT export papers on file and valid, expiry tracked), “GST registered” (active GSTIN from the registry check) and “Trusted” (earned from good conduct + reviews, starts in R2). “Origin documented”, “Tree registered” and “Lab tested” will be decided in Module 6. “Verified” stays only for identity and business checks.</t>
        </is>
      </c>
      <c r="I6" s="6" t="inlineStr">
        <is>
          <t>Glossary “Badge” and one-meaning rule; M03-2 §13.1</t>
        </is>
      </c>
      <c r="J6" s="10" t="inlineStr">
        <is>
          <t>To update</t>
        </is>
      </c>
      <c r="K6" s="10" t="inlineStr"/>
    </row>
    <row r="7">
      <c r="A7" s="6" t="n">
        <v>6</v>
      </c>
      <c r="B7" s="6" t="inlineStr">
        <is>
          <t>All flows</t>
        </is>
      </c>
      <c r="C7" s="6" t="inlineStr">
        <is>
          <t>Identity check (missing screen)</t>
        </is>
      </c>
      <c r="D7" s="8" t="inlineStr">
        <is>
          <t>256:28609</t>
        </is>
      </c>
      <c r="E7" s="9" t="inlineStr">
        <is>
          <t>High</t>
        </is>
      </c>
      <c r="F7" s="6" t="inlineStr">
        <is>
          <t>No identity-check step. Users type ID type, number, issuing authority and dates by hand. A “Verification selfie” appears in the preview, but no screen collects it.</t>
        </is>
      </c>
      <c r="G7" s="6" t="inlineStr">
        <is>
          <t>Add screen S06 “Check your identity” (about 3 minutes). Routes: DigiLocker (India, fastest), upload a photo of your ID, and Aadhaar OTP when switched on. The Aadhaar number is never stored and Aadhaar card images are refused. Add a live selfie with a consent dialog, skipped when DigiLocker or Aadhaar already confirmed identity. Alternatives: send a link to the authorised person, staff video call (same-gender option), field agent in person, and “Can’t take a selfie?”.</t>
        </is>
      </c>
      <c r="H7" s="6" t="inlineStr">
        <is>
          <t>Agreed: add S06 as designed. No typing of ID numbers.</t>
        </is>
      </c>
      <c r="I7" s="6" t="inlineStr">
        <is>
          <t>PRD-ROL-026; M03-6 §7; M03-2 IDV</t>
        </is>
      </c>
      <c r="J7" s="10" t="inlineStr">
        <is>
          <t>To update</t>
        </is>
      </c>
      <c r="K7" s="10" t="inlineStr"/>
    </row>
    <row r="8">
      <c r="A8" s="6" t="n">
        <v>7</v>
      </c>
      <c r="B8" s="6" t="inlineStr">
        <is>
          <t>All flows</t>
        </is>
      </c>
      <c r="C8" s="6" t="inlineStr">
        <is>
          <t>Documents step</t>
        </is>
      </c>
      <c r="D8" s="8" t="inlineStr">
        <is>
          <t>35:14802</t>
        </is>
      </c>
      <c r="E8" s="9" t="inlineStr">
        <is>
          <t>High</t>
        </is>
      </c>
      <c r="F8" s="6" t="inlineStr">
        <is>
          <t>Free-form “Add additional documents”: pick any type, number optional, dates optional, “Maximum 10 files”. The user isn’t told which documents are required.</t>
        </is>
      </c>
      <c r="G8" s="6" t="inlineStr">
        <is>
          <t>Show the checklist for the role and country (“Documents for Seller in India”). One slot per required document, each with its name, accepted documents, sample image, “Take a photo” on phone and an expiry date where the document expires. Formats: PDF, JPG, PNG, HEIC/HEIF or WEBP. File states: uploading, checking, ready, blurry warning. Only rejected documents reopen. Keep “Add another document” as optional extra.</t>
        </is>
      </c>
      <c r="H8" s="11" t="inlineStr">
        <is>
          <t>CHANGED (25 Sep): one Documents step for all roles — pick the document type from a dropdown (country + role list), upload, number, issued in, dates, Add; repeat. A small “You need” list ticks off. “Other document” lets the user type the name. No special screens for Nursery / Inoculation Provider.</t>
        </is>
      </c>
      <c r="I8" s="6" t="inlineStr">
        <is>
          <t>PRD-ROL-027; M03-6 §8.1; M03-2 DOC</t>
        </is>
      </c>
      <c r="J8" s="10" t="inlineStr">
        <is>
          <t>To update</t>
        </is>
      </c>
      <c r="K8" s="10" t="inlineStr"/>
    </row>
    <row r="9">
      <c r="A9" s="6" t="n">
        <v>8</v>
      </c>
      <c r="B9" s="6" t="inlineStr">
        <is>
          <t>All flows</t>
        </is>
      </c>
      <c r="C9" s="6" t="inlineStr">
        <is>
          <t>Business details (all business roles)</t>
        </is>
      </c>
      <c r="D9" s="8" t="inlineStr">
        <is>
          <t>35:14373</t>
        </is>
      </c>
      <c r="E9" s="9" t="inlineStr">
        <is>
          <t>High</t>
        </is>
      </c>
      <c r="F9" s="6" t="inlineStr">
        <is>
          <t>Country of registration is the 2nd field, not first. All registration numbers are optional, with no rule that at least one is needed. There is no registry check or auto-fill, no legal form, and no store-name vs legal-name split. Authorised representative has only name and mobile, with no designation, relationship or proof of authority, and there is no compliance declaration.</t>
        </is>
      </c>
      <c r="G9" s="6" t="inlineStr">
        <is>
          <t>Follow S04 in 3 steps. (1) Registration: country of registration first, then that country’s fields (India: add at least one of GSTIN, CIN/LLPIN or Udyam; PAN), “Check with the registry?” consent, then “We found your business” auto-fill. (2) Your business: legal name (read-only after registry), type of business, store name (shown to buyers), year started, size, and business phone and email (private). (3) Authorised person: “I am the authorised person / I act on their behalf”, designation, relationship, board resolution or authority letter for companies, plus the compliance declaration with the agarwood clauses.</t>
        </is>
      </c>
      <c r="H9" s="6" t="inlineStr">
        <is>
          <t>Agreed: follow S04.</t>
        </is>
      </c>
      <c r="I9" s="6" t="inlineStr">
        <is>
          <t>PRD-ROL-024; M03-6 §5.1–5.3</t>
        </is>
      </c>
      <c r="J9" s="10" t="inlineStr">
        <is>
          <t>To update</t>
        </is>
      </c>
      <c r="K9" s="10" t="inlineStr"/>
    </row>
    <row r="10">
      <c r="A10" s="6" t="n">
        <v>9</v>
      </c>
      <c r="B10" s="6" t="inlineStr">
        <is>
          <t>All flows</t>
        </is>
      </c>
      <c r="C10" s="6" t="inlineStr">
        <is>
          <t>Page titles, subtitles and steps</t>
        </is>
      </c>
      <c r="D10" s="8" t="inlineStr">
        <is>
          <t>186:717</t>
        </is>
      </c>
      <c r="E10" s="12" t="inlineStr">
        <is>
          <t>Medium</t>
        </is>
      </c>
      <c r="F10" s="6" t="inlineStr">
        <is>
          <t>Subtitle “Every field here is public” appears on pages with private fields, and another page says “only your photo and state and country appear publicly”. The step-6 page is titled “Area of Interest”, “Where You Operate” or “Your Social Media Links”, and the step indicator sometimes highlights the wrong step. “Bussiness” is misspelt.</t>
        </is>
      </c>
      <c r="G10" s="6" t="inlineStr">
        <is>
          <t>Remove the blanket subtitle and keep the per-field public/private chips (good). Fix page titles to match the step and the step indicator. Fix the spelling.</t>
        </is>
      </c>
      <c r="H10" s="6" t="inlineStr">
        <is>
          <t>Agreed: fix all.</t>
        </is>
      </c>
      <c r="I10" s="6" t="inlineStr">
        <is>
          <t>M03-6 §2</t>
        </is>
      </c>
      <c r="J10" s="10" t="inlineStr">
        <is>
          <t>To update</t>
        </is>
      </c>
      <c r="K10" s="10" t="inlineStr"/>
    </row>
    <row r="11">
      <c r="A11" s="6" t="n">
        <v>10</v>
      </c>
      <c r="B11" s="6" t="inlineStr">
        <is>
          <t>All flows</t>
        </is>
      </c>
      <c r="C11" s="6" t="inlineStr">
        <is>
          <t>Website and social links</t>
        </is>
      </c>
      <c r="D11" s="8" t="inlineStr">
        <is>
          <t>186:717</t>
        </is>
      </c>
      <c r="E11" s="12" t="inlineStr">
        <is>
          <t>Medium</t>
        </is>
      </c>
      <c r="F11" s="6" t="inlineStr">
        <is>
          <t>Website shows “VERIFIED (meta tag)” and Instagram shows “CHECKING”. The WhatsApp Business number is a public link. The short bio is marked PRIVATE although it is shown to buyers.</t>
        </is>
      </c>
      <c r="G11" s="6" t="inlineStr">
        <is>
          <t>Link status words: “Link confirmed” / “Checking” (not “verified”). Remove WhatsApp and phone rows: no WhatsApp or phone links. Links are shown only for verified sellers and are scanned for safety. Mark the description/bio as public.</t>
        </is>
      </c>
      <c r="H11" s="6" t="inlineStr">
        <is>
          <t>Agreed: website + Instagram, Facebook, YouTube, LinkedIn only, shown after verification; “Link confirmed” / “Checking”; no WhatsApp or phone links.</t>
        </is>
      </c>
      <c r="I11" s="6" t="inlineStr">
        <is>
          <t>PRD-ROL-034; M03-2 PRF (links); Glossary</t>
        </is>
      </c>
      <c r="J11" s="10" t="inlineStr">
        <is>
          <t>To update</t>
        </is>
      </c>
      <c r="K11" s="10" t="inlineStr"/>
    </row>
    <row r="12">
      <c r="A12" s="6" t="n">
        <v>11</v>
      </c>
      <c r="B12" s="6" t="inlineStr">
        <is>
          <t>All flows</t>
        </is>
      </c>
      <c r="C12" s="6" t="inlineStr">
        <is>
          <t>Area of Interest</t>
        </is>
      </c>
      <c r="D12" s="8" t="inlineStr">
        <is>
          <t>167:34800</t>
        </is>
      </c>
      <c r="E12" s="12" t="inlineStr">
        <is>
          <t>Medium</t>
        </is>
      </c>
      <c r="F12" s="6" t="inlineStr">
        <is>
          <t>One long list of fine sub-categories, identical for buyers and sellers. Includes “Wild Grade Agarwood”, “Wild Grade Chips” and “Wild-Grade Oud Oil”.</t>
        </is>
      </c>
      <c r="G12" s="6" t="inlineStr">
        <is>
          <t>Split into “What I buy” and “What I offer” (buyers see only “What I buy”). Use top-level categories until the Module 4 taxonomy is final. Show only the categories allowed for the role (the Admin role-to-category table). Remove “wild” options: we never use “wild” as a positive claim, and sellers declare no wild-sourced agarwood.</t>
        </is>
      </c>
      <c r="H12" s="6" t="inlineStr">
        <is>
          <t>Agreed: split “What I buy” / “What I offer”, role-allowed categories only, top-level until Module 4, no “wild” options.</t>
        </is>
      </c>
      <c r="I12" s="6" t="inlineStr">
        <is>
          <t>M03-2 PRF-006 / BUY; PRD-TAX-005; M03-6 §2; compliance declaration</t>
        </is>
      </c>
      <c r="J12" s="10" t="inlineStr">
        <is>
          <t>To update</t>
        </is>
      </c>
      <c r="K12" s="10" t="inlineStr"/>
    </row>
    <row r="13">
      <c r="A13" s="6" t="n">
        <v>12</v>
      </c>
      <c r="B13" s="6" t="inlineStr">
        <is>
          <t>All flows</t>
        </is>
      </c>
      <c r="C13" s="6" t="inlineStr">
        <is>
          <t>Company sites / business locations</t>
        </is>
      </c>
      <c r="D13" s="8" t="inlineStr">
        <is>
          <t>60:19803</t>
        </is>
      </c>
      <c r="E13" s="12" t="inlineStr">
        <is>
          <t>Medium</t>
        </is>
      </c>
      <c r="F13" s="6" t="inlineStr">
        <is>
          <t>There is no shortcut to reuse the registered address, and the public/private split for address and map pin isn’t shown.</t>
        </is>
      </c>
      <c r="G13" s="6" t="inlineStr">
        <is>
          <t>Add “Use my registered address as my first site”. Types: Registered office, Office, Plantation, Nursery, Distillery, Factory, Warehouse, Shop, Other. Add a “Landmark” field for places without street or PIN. Line: “Only your city and state are shown to others”. Keep the map pin private. At least one location is needed for sellers. Photos and video are fine as optional.</t>
        </is>
      </c>
      <c r="H13" s="6" t="inlineStr">
        <is>
          <t>Agreed: keep Figma layout, photos and video, and add the S05 items.</t>
        </is>
      </c>
      <c r="I13" s="6" t="inlineStr">
        <is>
          <t>PRD-ROL-025; M03-6 §6</t>
        </is>
      </c>
      <c r="J13" s="10" t="inlineStr">
        <is>
          <t>To update</t>
        </is>
      </c>
      <c r="K13" s="10" t="inlineStr"/>
    </row>
    <row r="14">
      <c r="A14" s="6" t="n">
        <v>13</v>
      </c>
      <c r="B14" s="6" t="inlineStr">
        <is>
          <t>All flows</t>
        </is>
      </c>
      <c r="C14" s="6" t="inlineStr">
        <is>
          <t>Submitted for verification</t>
        </is>
      </c>
      <c r="D14" s="8" t="inlineStr">
        <is>
          <t>35:16772</t>
        </is>
      </c>
      <c r="E14" s="12" t="inlineStr">
        <is>
          <t>Medium</t>
        </is>
      </c>
      <c r="F14" s="6" t="inlineStr">
        <is>
          <t>“A Moderator will check every field and document, then recommend an outcome for an Admin to decide.” It gives no date and doesn’t say what the user can do while waiting.</t>
        </is>
      </c>
      <c r="G14" s="6" t="inlineStr">
        <is>
          <t>“Sent. In review — expected by {date, time} (your time).” Add: “You can create listings now — they wait and go live when you’re verified.” Button: Go to my dashboard.</t>
        </is>
      </c>
      <c r="H14" s="6" t="inlineStr">
        <is>
          <t>Agreed: dated ETA + “create listings now”; hide internal review steps.</t>
        </is>
      </c>
      <c r="I14" s="6" t="inlineStr">
        <is>
          <t>PRD-ROL-005 / VER-008; M03-6 §8.1</t>
        </is>
      </c>
      <c r="J14" s="10" t="inlineStr">
        <is>
          <t>To update</t>
        </is>
      </c>
      <c r="K14" s="10" t="inlineStr"/>
    </row>
    <row r="15">
      <c r="A15" s="6" t="n">
        <v>14</v>
      </c>
      <c r="B15" s="6" t="inlineStr">
        <is>
          <t>All flows</t>
        </is>
      </c>
      <c r="C15" s="6" t="inlineStr">
        <is>
          <t>Verification not approved</t>
        </is>
      </c>
      <c r="D15" s="8" t="inlineStr">
        <is>
          <t>35:16868</t>
        </is>
      </c>
      <c r="E15" s="13" t="inlineStr">
        <is>
          <t>Low</t>
        </is>
      </c>
      <c r="F15" s="6" t="inlineStr">
        <is>
          <t>Good: only the flagged items reopen. The title sounds final, though.</t>
        </is>
      </c>
      <c r="G15" s="6" t="inlineStr">
        <is>
          <t>Use state “Changes needed” (amber). Name each document and reason: “Changes needed: {document} — {reason}. Send a new copy.”</t>
        </is>
      </c>
      <c r="H15" s="6" t="inlineStr">
        <is>
          <t>Agreed: “Changes needed” per document with reason; keep “everything else is kept”.</t>
        </is>
      </c>
      <c r="I15" s="6" t="inlineStr">
        <is>
          <t>M03-6 §8.2</t>
        </is>
      </c>
      <c r="J15" s="10" t="inlineStr">
        <is>
          <t>To update</t>
        </is>
      </c>
      <c r="K15" s="10" t="inlineStr"/>
    </row>
    <row r="16">
      <c r="A16" s="6" t="n">
        <v>15</v>
      </c>
      <c r="B16" s="6" t="inlineStr">
        <is>
          <t>All flows</t>
        </is>
      </c>
      <c r="C16" s="6" t="inlineStr">
        <is>
          <t>Verified</t>
        </is>
      </c>
      <c r="D16" s="8" t="inlineStr">
        <is>
          <t>35:17691</t>
        </is>
      </c>
      <c r="E16" s="13" t="inlineStr">
        <is>
          <t>Low</t>
        </is>
      </c>
      <c r="F16" s="6" t="inlineStr">
        <is>
          <t>Mentions “sponsored placement”, which is a paid R2 feature.</t>
        </is>
      </c>
      <c r="G16" s="6" t="inlineStr">
        <is>
          <t>“Business verified · as of {date}.” Leave sponsored placement out of R1 copy.</t>
        </is>
      </c>
      <c r="H16" s="6" t="inlineStr">
        <is>
          <t>Agreed: “Business verified · as of {date}”; no sponsored placement in R1 copy.</t>
        </is>
      </c>
      <c r="I16" s="6" t="inlineStr">
        <is>
          <t>M03-6 §8.2; PRD R2</t>
        </is>
      </c>
      <c r="J16" s="10" t="inlineStr">
        <is>
          <t>To update</t>
        </is>
      </c>
      <c r="K16" s="10" t="inlineStr"/>
    </row>
    <row r="17">
      <c r="A17" s="6" t="n">
        <v>16</v>
      </c>
      <c r="B17" s="6" t="inlineStr">
        <is>
          <t>All flows</t>
        </is>
      </c>
      <c r="C17" s="6" t="inlineStr">
        <is>
          <t>Words (Glossary)</t>
        </is>
      </c>
      <c r="D17" s="8" t="inlineStr">
        <is>
          <t>4:33</t>
        </is>
      </c>
      <c r="E17" s="12" t="inlineStr">
        <is>
          <t>Medium</t>
        </is>
      </c>
      <c r="F17" s="6" t="inlineStr">
        <is>
          <t>“login”, “login into portal”, “Go to my console”, “OTP”, “Inquiries”, and the menu items Orders, Bargains, Inventory, Customers.</t>
        </is>
      </c>
      <c r="G17" s="6" t="inlineStr">
        <is>
          <t>Use sign in, dashboard, code and enquiries. OudhTrade is listing-only: no orders, inventory or customers. Hide features that aren’t built yet rather than showing many locked menu items.</t>
        </is>
      </c>
      <c r="H17" s="6" t="inlineStr">
        <is>
          <t>Agreed: Glossary words; remove Orders, Bargains, Inventory, Customers; hide features not built yet.</t>
        </is>
      </c>
      <c r="I17" s="6" t="inlineStr">
        <is>
          <t>Glossary; M02-6 §2; M03-6 §2</t>
        </is>
      </c>
      <c r="J17" s="10" t="inlineStr">
        <is>
          <t>To update</t>
        </is>
      </c>
      <c r="K17" s="10" t="inlineStr"/>
    </row>
    <row r="18">
      <c r="A18" s="6" t="n">
        <v>17</v>
      </c>
      <c r="B18" s="6" t="inlineStr">
        <is>
          <t>All flows</t>
        </is>
      </c>
      <c r="C18" s="6" t="inlineStr">
        <is>
          <t>Sample data</t>
        </is>
      </c>
      <c r="D18" s="8" t="inlineStr">
        <is>
          <t>4:33</t>
        </is>
      </c>
      <c r="E18" s="13" t="inlineStr">
        <is>
          <t>Low</t>
        </is>
      </c>
      <c r="F18" s="6" t="inlineStr">
        <is>
          <t>Mixed sample names (Ramu Rao / Sameer Malik / Sharath / Rahim Khan), lorem ipsum (“The curious fox…”), repeated welcome text, “ramu@gmail.com.com”, and “you@company.com” as the placeholder in both password fields.</t>
        </is>
      </c>
      <c r="G18" s="6" t="inlineStr">
        <is>
          <t>Use one consistent sample person per flow and real copy. Fix the placeholders.</t>
        </is>
      </c>
      <c r="H18" s="6" t="inlineStr">
        <is>
          <t>Agreed: fix all.</t>
        </is>
      </c>
      <c r="I18" s="6" t="inlineStr">
        <is>
          <t>—</t>
        </is>
      </c>
      <c r="J18" s="10" t="inlineStr">
        <is>
          <t>To update</t>
        </is>
      </c>
      <c r="K18" s="10" t="inlineStr"/>
    </row>
    <row r="19">
      <c r="A19" s="6" t="n">
        <v>18</v>
      </c>
      <c r="B19" s="6" t="inlineStr">
        <is>
          <t>Sign-in and sign-up</t>
        </is>
      </c>
      <c r="C19" s="6" t="inlineStr">
        <is>
          <t>Sign in</t>
        </is>
      </c>
      <c r="D19" s="8" t="inlineStr">
        <is>
          <t>4:33</t>
        </is>
      </c>
      <c r="E19" s="12" t="inlineStr">
        <is>
          <t>Medium</t>
        </is>
      </c>
      <c r="F19" s="6" t="inlineStr">
        <is>
          <t>Email only; Google only; “Remember me”; “Don’t have account yet? Sign up”.</t>
        </is>
      </c>
      <c r="G19" s="6" t="inlineStr">
        <is>
          <t>Field “Mobile number or email” · Password with show/hide · checkbox “Public or shared device” · Continue with Google · Continue with Apple · links “Forgot password?” and “I can’t use my phone”. Link “New to OudhTrade? Create an account” (open sign-up from R1).</t>
        </is>
      </c>
      <c r="H19" s="6" t="inlineStr">
        <is>
          <t>Agreed: M02 sign-in; link “New to OudhTrade? Create an account”.</t>
        </is>
      </c>
      <c r="I19" s="6" t="inlineStr">
        <is>
          <t>M02-6 §6</t>
        </is>
      </c>
      <c r="J19" s="10" t="inlineStr">
        <is>
          <t>To update</t>
        </is>
      </c>
      <c r="K19" s="10" t="inlineStr"/>
    </row>
    <row r="20">
      <c r="A20" s="6" t="n">
        <v>19</v>
      </c>
      <c r="B20" s="6" t="inlineStr">
        <is>
          <t>Sign-in and sign-up</t>
        </is>
      </c>
      <c r="C20" s="6" t="inlineStr">
        <is>
          <t>Invitation screens (missing)</t>
        </is>
      </c>
      <c r="D20" s="6" t="inlineStr">
        <is>
          <t>—</t>
        </is>
      </c>
      <c r="E20" s="12" t="inlineStr">
        <is>
          <t>Medium</t>
        </is>
      </c>
      <c r="F20" s="6" t="inlineStr">
        <is>
          <t>Sign-up is open to everyone from R1, but field agents, FPOs and our team still send invitations. There are no invitation landing, invitation code or “This isn’t my role” screens.</t>
        </is>
      </c>
      <c r="G20" s="6" t="inlineStr">
        <is>
          <t>Add the invitation landing (valid, used, expired, replaced, wrong code) with the role filled in, and the “This isn’t my role” dialog. No waitlist screens are needed.</t>
        </is>
      </c>
      <c r="H20" s="11" t="inlineStr">
        <is>
          <t>CHANGED: sign-up is open to everyone from R1. Keep invitations (field agents, FPOs, our team) with the role filled in; no waitlist. No “Beta” wording anywhere.</t>
        </is>
      </c>
      <c r="I20" s="6" t="inlineStr">
        <is>
          <t>M02-6 §3.1–3.3; PRD-IDN-001/014</t>
        </is>
      </c>
      <c r="J20" s="10" t="inlineStr">
        <is>
          <t>To update</t>
        </is>
      </c>
      <c r="K20" s="10" t="inlineStr"/>
    </row>
    <row r="21">
      <c r="A21" s="6" t="n">
        <v>20</v>
      </c>
      <c r="B21" s="6" t="inlineStr">
        <is>
          <t>Sign-in and sign-up</t>
        </is>
      </c>
      <c r="C21" s="6" t="inlineStr">
        <is>
          <t>Role selection</t>
        </is>
      </c>
      <c r="D21" s="8" t="inlineStr">
        <is>
          <t>4:879</t>
        </is>
      </c>
      <c r="E21" s="12" t="inlineStr">
        <is>
          <t>Medium</t>
        </is>
      </c>
      <c r="F21" s="6" t="inlineStr">
        <is>
          <t>Good: six roles with icons. Missing: “Which role fits me?” link, and the invitation limit on roles. With Buyer selected the button still says “Continue as Seller”. A card is pre-selected.</t>
        </is>
      </c>
      <c r="G21" s="6" t="inlineStr">
        <is>
          <t>Add link “Which role fits me?” (S01: questions, suggestion, documents per role and country). When invited, show only the allowed roles plus “This isn’t my role”. No card chosen at the start. The button follows the choice. Use the role lines from M03-6 §4 (Seller: “A business that sells agarwood products or services; sole proprietors count”; Company: “A registered company, LLP, producer company or co-operative”).</t>
        </is>
      </c>
      <c r="H21" s="6" t="inlineStr">
        <is>
          <t>Agreed.</t>
        </is>
      </c>
      <c r="I21" s="6" t="inlineStr">
        <is>
          <t>PRD-ROL-001; M03-6 §4; M02-6 §4</t>
        </is>
      </c>
      <c r="J21" s="10" t="inlineStr">
        <is>
          <t>To update</t>
        </is>
      </c>
      <c r="K21" s="10" t="inlineStr"/>
    </row>
    <row r="22">
      <c r="A22" s="6" t="n">
        <v>21</v>
      </c>
      <c r="B22" s="6" t="inlineStr">
        <is>
          <t>Sign-in and sign-up</t>
        </is>
      </c>
      <c r="C22" s="6" t="inlineStr">
        <is>
          <t>Buyer: How do you buy?</t>
        </is>
      </c>
      <c r="D22" s="8" t="inlineStr">
        <is>
          <t>243:20259</t>
        </is>
      </c>
      <c r="E22" s="13" t="inlineStr">
        <is>
          <t>Low</t>
        </is>
      </c>
      <c r="F22" s="6" t="inlineStr">
        <is>
          <t>The Individual/Business choice is right, but the copy is from sellers (“Publishing needs Identity Verified…”).</t>
        </is>
      </c>
      <c r="G22" s="6" t="inlineStr">
        <is>
          <t>“For myself” / “For a business”. Line: “You can browse and send enquiries straight away. Verification is optional.”</t>
        </is>
      </c>
      <c r="H22" s="6" t="inlineStr">
        <is>
          <t>Agreed.</t>
        </is>
      </c>
      <c r="I22" s="6" t="inlineStr">
        <is>
          <t>M03-6 §11; M02-6 §4</t>
        </is>
      </c>
      <c r="J22" s="10" t="inlineStr">
        <is>
          <t>To update</t>
        </is>
      </c>
      <c r="K22" s="10" t="inlineStr"/>
    </row>
    <row r="23">
      <c r="A23" s="6" t="n">
        <v>22</v>
      </c>
      <c r="B23" s="6" t="inlineStr">
        <is>
          <t>Sign-in and sign-up</t>
        </is>
      </c>
      <c r="C23" s="6" t="inlineStr">
        <is>
          <t>Create your account</t>
        </is>
      </c>
      <c r="D23" s="8" t="inlineStr">
        <is>
          <t>4:1298</t>
        </is>
      </c>
      <c r="E23" s="9" t="inlineStr">
        <is>
          <t>High</t>
        </is>
      </c>
      <c r="F23" s="6" t="inlineStr">
        <is>
          <t>Only one “Email Address or Mobile Number” field, plus password, confirm password and 18+. Missing: full name, separate mobile and email, account country / country code, invitation code (R1), password rules and strength, show/hide. The password placeholder is “you@company.com”.</t>
        </is>
      </c>
      <c r="G23" s="6" t="inlineStr">
        <is>
          <t>Fields: “Your full name (as on your ID)” · “Mobile number” with country code (“One number can have one account”) · “Email” (optional for farmers) · “Account country” · Password with rule, strength hint and show/hide (confirm-password field not needed) · 18+ checkbox · optional “How did you hear about OudhTrade?”. In R1 add the invitation code, or fill it from the link.</t>
        </is>
      </c>
      <c r="H23" s="6" t="inlineStr">
        <is>
          <t>Agreed: M02 fields.</t>
        </is>
      </c>
      <c r="I23" s="6" t="inlineStr">
        <is>
          <t>M02-6 §4 and §4.1</t>
        </is>
      </c>
      <c r="J23" s="10" t="inlineStr">
        <is>
          <t>To update</t>
        </is>
      </c>
      <c r="K23" s="10" t="inlineStr"/>
    </row>
    <row r="24">
      <c r="A24" s="6" t="n">
        <v>23</v>
      </c>
      <c r="B24" s="6" t="inlineStr">
        <is>
          <t>Sign-in and sign-up</t>
        </is>
      </c>
      <c r="C24" s="6" t="inlineStr">
        <is>
          <t>Consents</t>
        </is>
      </c>
      <c r="D24" s="8" t="inlineStr">
        <is>
          <t>12:1763</t>
        </is>
      </c>
      <c r="E24" s="9" t="inlineStr">
        <is>
          <t>High</t>
        </is>
      </c>
      <c r="F24" s="6" t="inlineStr">
        <is>
          <t>Required boxes are shown already ticked in the main frame (frame 135:27944 shows the right behaviour).</t>
        </is>
      </c>
      <c r="G24" s="6" t="inlineStr">
        <is>
          <t>All boxes start unticked, and “Create my account” is disabled until the required ones are ticked. Keep marketing and personalisation off by default (good). Link each item to its page without losing the form. Checks by third parties (registry, DigiLocker, selfie, bank) are asked later, at the moment of each check, not here. Decided 24 Sep 2026: keep the separate lines as in Figma (M02-FR-SUP-031). Say “Privacy Notice”, not “Privacy Policy”. No “Beta” wording anywhere.</t>
        </is>
      </c>
      <c r="H24" s="6" t="inlineStr">
        <is>
          <t>Decided: keep separate lines as in Figma. Nothing pre-ticked. “Privacy Notice”. No “Beta” line.</t>
        </is>
      </c>
      <c r="I24" s="6" t="inlineStr">
        <is>
          <t>M02-6 §4; M02 PRV (consent); DPDP</t>
        </is>
      </c>
      <c r="J24" s="10" t="inlineStr">
        <is>
          <t>To update</t>
        </is>
      </c>
      <c r="K24" s="10" t="inlineStr"/>
    </row>
    <row r="25">
      <c r="A25" s="6" t="n">
        <v>24</v>
      </c>
      <c r="B25" s="6" t="inlineStr">
        <is>
          <t>Sign-in and sign-up</t>
        </is>
      </c>
      <c r="C25" s="6" t="inlineStr">
        <is>
          <t>Code screens (email and mobile)</t>
        </is>
      </c>
      <c r="D25" s="8" t="inlineStr">
        <is>
          <t>4:1717</t>
        </is>
      </c>
      <c r="E25" s="12" t="inlineStr">
        <is>
          <t>Medium</t>
        </is>
      </c>
      <c r="F25" s="6" t="inlineStr">
        <is>
          <t>Missing: the “never share this code” warning, a resend timer, other channels, tries left, and when the next code can be sent. “OTP expired” shows next to “expires in 10 minutes”. The screen uses the word “OTP”.</t>
        </is>
      </c>
      <c r="G25" s="6" t="inlineStr">
        <is>
          <t>Heading “Enter the code” · “We sent a 6-digit code by {SMS / WhatsApp / email} to {masked contact}” · one field (paste and auto-fill) · warning “OudhTrade will never ask you for this code” · “Send a new code in {m:ss}” · “Didn’t get it?” → Call me with the code (India) / WhatsApp / SMS / email · “That code is wrong. {n} tries left.” · “You can ask for a new one at {time}.” · “Wrong number? Change it” keeps typed values.</t>
        </is>
      </c>
      <c r="H25" s="6" t="inlineStr">
        <is>
          <t>Agreed: M02 code screens in Figma’s style; say “code”, never “OTP”.</t>
        </is>
      </c>
      <c r="I25" s="6" t="inlineStr">
        <is>
          <t>M02-6 §5; PRD-IDN-029</t>
        </is>
      </c>
      <c r="J25" s="10" t="inlineStr">
        <is>
          <t>To update</t>
        </is>
      </c>
      <c r="K25" s="10" t="inlineStr"/>
    </row>
    <row r="26">
      <c r="A26" s="6" t="n">
        <v>25</v>
      </c>
      <c r="B26" s="6" t="inlineStr">
        <is>
          <t>Sign-in and sign-up</t>
        </is>
      </c>
      <c r="C26" s="6" t="inlineStr">
        <is>
          <t>Code sending failed / limit</t>
        </is>
      </c>
      <c r="D26" s="8" t="inlineStr">
        <is>
          <t>468:14313</t>
        </is>
      </c>
      <c r="E26" s="12" t="inlineStr">
        <is>
          <t>Medium</t>
        </is>
      </c>
      <c r="F26" s="6" t="inlineStr">
        <is>
          <t>“OTP sending failed” and “OTP resend limit exceeded” give no way forward.</t>
        </is>
      </c>
      <c r="G26" s="6" t="inlineStr">
        <is>
          <t>“We couldn’t deliver the code by SMS. Try WhatsApp or email instead.” / “You’ve asked for several codes. You can ask for a new one at {time}.” Every error names a next action.</t>
        </is>
      </c>
      <c r="H26" s="6" t="inlineStr">
        <is>
          <t>Agreed.</t>
        </is>
      </c>
      <c r="I26" s="6" t="inlineStr">
        <is>
          <t>M02-6 §5; M03-6 §2 (No dead ends)</t>
        </is>
      </c>
      <c r="J26" s="10" t="inlineStr">
        <is>
          <t>To update</t>
        </is>
      </c>
      <c r="K26" s="10" t="inlineStr"/>
    </row>
    <row r="27">
      <c r="A27" s="6" t="n">
        <v>26</v>
      </c>
      <c r="B27" s="6" t="inlineStr">
        <is>
          <t>Sign-in and sign-up</t>
        </is>
      </c>
      <c r="C27" s="6" t="inlineStr">
        <is>
          <t>Account created</t>
        </is>
      </c>
      <c r="D27" s="8" t="inlineStr">
        <is>
          <t>14:2034</t>
        </is>
      </c>
      <c r="E27" s="13" t="inlineStr">
        <is>
          <t>Low</t>
        </is>
      </c>
      <c r="F27" s="6" t="inlineStr">
        <is>
          <t>“Your account has been successfully created! Go to my console”.</t>
        </is>
      </c>
      <c r="G27" s="6" t="inlineStr">
        <is>
          <t>“Welcome to OudhTrade, {first name}. Your account is ready.” Button: Go to my dashboard, which is the role dashboard with the “Finish setting up” card. Or skip this screen and land on the dashboard.</t>
        </is>
      </c>
      <c r="H27" s="6" t="inlineStr">
        <is>
          <t>Agreed: go straight to the role dashboard with “Welcome to OudhTrade, {first name}”.</t>
        </is>
      </c>
      <c r="I27" s="6" t="inlineStr">
        <is>
          <t>M02-6 §4; PRD-ROL-023</t>
        </is>
      </c>
      <c r="J27" s="10" t="inlineStr">
        <is>
          <t>To update</t>
        </is>
      </c>
      <c r="K27" s="10" t="inlineStr"/>
    </row>
    <row r="28">
      <c r="A28" s="6" t="n">
        <v>27</v>
      </c>
      <c r="B28" s="6" t="inlineStr">
        <is>
          <t>Sign-in and sign-up</t>
        </is>
      </c>
      <c r="C28" s="6" t="inlineStr">
        <is>
          <t>Account creation failed / Internal server error</t>
        </is>
      </c>
      <c r="D28" s="8" t="inlineStr">
        <is>
          <t>464:13919</t>
        </is>
      </c>
      <c r="E28" s="13" t="inlineStr">
        <is>
          <t>Low</t>
        </is>
      </c>
      <c r="F28" s="6" t="inlineStr">
        <is>
          <t>The copy is technical and has a grammar error (“has been failed to be created”). It gives no reference and doesn’t say whether typed values are kept.</t>
        </is>
      </c>
      <c r="G28" s="6" t="inlineStr">
        <is>
          <t>“Something went wrong on our side. Your details are still here.” Try again · Get help. Show a short reference code for Support. Retrying never creates a second account.</t>
        </is>
      </c>
      <c r="H28" s="6" t="inlineStr">
        <is>
          <t>Agreed: plain words, reference code, values kept.</t>
        </is>
      </c>
      <c r="I28" s="6" t="inlineStr">
        <is>
          <t>M02-6 §4.2; PRD-IDN-036</t>
        </is>
      </c>
      <c r="J28" s="10" t="inlineStr">
        <is>
          <t>To update</t>
        </is>
      </c>
      <c r="K28" s="10" t="inlineStr"/>
    </row>
    <row r="29">
      <c r="A29" s="6" t="n">
        <v>28</v>
      </c>
      <c r="B29" s="6" t="inlineStr">
        <is>
          <t>Dashboards</t>
        </is>
      </c>
      <c r="C29" s="6" t="inlineStr">
        <is>
          <t>Seller / Company / Nursery / Inoculation dashboard</t>
        </is>
      </c>
      <c r="D29" s="8" t="inlineStr">
        <is>
          <t>31:11491</t>
        </is>
      </c>
      <c r="E29" s="12" t="inlineStr">
        <is>
          <t>Medium</t>
        </is>
      </c>
      <c r="F29" s="6" t="inlineStr">
        <is>
          <t>Charts and a listing table are fine for later. Missing: status chip with ETA, “Needs your attention”, listing tabs, storefront link, business summary, buying section.</t>
        </is>
      </c>
      <c r="G29" s="6" t="inlineStr">
        <is>
          <t>S17: store name + status chip (“In review — expected by …”). “Needs your attention” (one sentence + one button). My listings tabs: Drafts · Waiting for your verification · In review · Live · Changes requested. Storefront link (“goes live when you’re verified”). Business summary: legal name, registrations, main location, billing country. “Buying” section. Nursery and Inoculation get a “Capacity and service area” card.</t>
        </is>
      </c>
      <c r="H29" s="6" t="inlineStr">
        <is>
          <t>Agreed: keep Figma’s look and charts, add S17 content, no percentages.</t>
        </is>
      </c>
      <c r="I29" s="6" t="inlineStr">
        <is>
          <t>M03-6 §3.3</t>
        </is>
      </c>
      <c r="J29" s="10" t="inlineStr">
        <is>
          <t>To update</t>
        </is>
      </c>
      <c r="K29" s="10" t="inlineStr"/>
    </row>
    <row r="30">
      <c r="A30" s="6" t="n">
        <v>29</v>
      </c>
      <c r="B30" s="6" t="inlineStr">
        <is>
          <t>Dashboards</t>
        </is>
      </c>
      <c r="C30" s="6" t="inlineStr">
        <is>
          <t>Buyer dashboards (business and individual)</t>
        </is>
      </c>
      <c r="D30" s="8" t="inlineStr">
        <is>
          <t>243:20531</t>
        </is>
      </c>
      <c r="E30" s="9" t="inlineStr">
        <is>
          <t>High</t>
        </is>
      </c>
      <c r="F30" s="6" t="inlineStr">
        <is>
          <t>Copy of the seller dashboard: “Post a listing / Create a listing”, Live listings, Views, Saves, listing table, Verification 64% with Tree Registration etc. Frame 296:42217 is an almost empty buyer dashboard.</t>
        </is>
      </c>
      <c r="G30" s="6" t="inlineStr">
        <is>
          <t>S16 Buyer home: “Welcome, {first name}”; setup card with Recommended items only, each with “Not now”; “Your interests and enquiries”; Saved sellers; Verified buyer card; “Suggested for you”; daily enquiry limit; “Search listings · Post a requirement”. No listing tools for buyers. Give the empty state a helpful message.</t>
        </is>
      </c>
      <c r="H30" s="6" t="inlineStr">
        <is>
          <t>Agreed: S16 Buyer home.</t>
        </is>
      </c>
      <c r="I30" s="6" t="inlineStr">
        <is>
          <t>M03-6 §3.2; PRD-ROL-023</t>
        </is>
      </c>
      <c r="J30" s="10" t="inlineStr">
        <is>
          <t>To update</t>
        </is>
      </c>
      <c r="K30" s="10" t="inlineStr"/>
    </row>
    <row r="31">
      <c r="A31" s="6" t="n">
        <v>30</v>
      </c>
      <c r="B31" s="6" t="inlineStr">
        <is>
          <t>Dashboards</t>
        </is>
      </c>
      <c r="C31" s="6" t="inlineStr">
        <is>
          <t>Farmer dashboard</t>
        </is>
      </c>
      <c r="D31" s="8" t="inlineStr">
        <is>
          <t>203:14859</t>
        </is>
      </c>
      <c r="E31" s="12" t="inlineStr">
        <is>
          <t>Medium</t>
        </is>
      </c>
      <c r="F31" s="6" t="inlineStr">
        <is>
          <t>Good: “Farmer is always an individual account” and “Buyers looking for what you grow”. It is still the full seller layout (charts, many menu items, %).</t>
        </is>
      </c>
      <c r="G31" s="6" t="inlineStr">
        <is>
          <t>Simple mode, at most 5 destinations: big number “{n} buyers asked about your wood”; buttons Add my plantation · Add a listing; one “what needs action” sentence; listings in plain words; “Your field agent: {name} · Call my field agent”; verification line with date; “More”. Big touch targets; Hindi, Assamese and Bengali with audio.</t>
        </is>
      </c>
      <c r="H31" s="6" t="inlineStr">
        <is>
          <t>Agreed: simple mode S18; keep “Buyers looking for what you grow”.</t>
        </is>
      </c>
      <c r="I31" s="6" t="inlineStr">
        <is>
          <t>M03-6 §3.4 and §10</t>
        </is>
      </c>
      <c r="J31" s="10" t="inlineStr">
        <is>
          <t>To update</t>
        </is>
      </c>
      <c r="K31" s="10" t="inlineStr"/>
    </row>
    <row r="32">
      <c r="A32" s="6" t="n">
        <v>31</v>
      </c>
      <c r="B32" s="6" t="inlineStr">
        <is>
          <t>Buyer profile</t>
        </is>
      </c>
      <c r="C32" s="6" t="inlineStr">
        <is>
          <t>Business buyer profile wizard</t>
        </is>
      </c>
      <c r="D32" s="8" t="inlineStr">
        <is>
          <t>243:21443</t>
        </is>
      </c>
      <c r="E32" s="9" t="inlineStr">
        <is>
          <t>High</t>
        </is>
      </c>
      <c r="F32" s="6" t="inlineStr">
        <is>
          <t>Buyers get the full 7-step seller wizard (business verification, documents, company sites, bio and media, links).</t>
        </is>
      </c>
      <c r="G32" s="6" t="inlineStr">
        <is>
          <t>Buyer profile takes about 1 minute: name, city, country, buying for (Myself / A business), what you buy, preferred origins (optional), how often you buy. Then an optional “Get Business verified” (business details + documents) under “Recommended for trust”, never required. No sites or social links for buyers.</t>
        </is>
      </c>
      <c r="H32" s="6" t="inlineStr">
        <is>
          <t>Agreed: 1-minute buyer profile; business verification optional.</t>
        </is>
      </c>
      <c r="I32" s="6" t="inlineStr">
        <is>
          <t>M03-6 §11; M03-2 BUY-001–004; PRD-ROL-018</t>
        </is>
      </c>
      <c r="J32" s="10" t="inlineStr">
        <is>
          <t>To update</t>
        </is>
      </c>
      <c r="K32" s="10" t="inlineStr"/>
    </row>
    <row r="33">
      <c r="A33" s="6" t="n">
        <v>32</v>
      </c>
      <c r="B33" s="6" t="inlineStr">
        <is>
          <t>Buyer profile</t>
        </is>
      </c>
      <c r="C33" s="6" t="inlineStr">
        <is>
          <t>Individual buyer profile</t>
        </is>
      </c>
      <c r="D33" s="8" t="inlineStr">
        <is>
          <t>256:28609</t>
        </is>
      </c>
      <c r="E33" s="9" t="inlineStr">
        <is>
          <t>High</t>
        </is>
      </c>
      <c r="F33" s="6" t="inlineStr">
        <is>
          <t>Asks for full legal name, date of birth, street address, PIN and typed government ID details. The preview marks them public.</t>
        </is>
      </c>
      <c r="G33" s="6" t="inlineStr">
        <is>
          <t>Remove date of birth (18+ is already confirmed at sign-up), street address and ID fields from the profile. Individual buyers have no public page. Sellers they contact see name, country, buyer type and badges. ID and selfie only inside the optional “Get Verified buyer” (about 5 minutes).</t>
        </is>
      </c>
      <c r="H33" s="6" t="inlineStr">
        <is>
          <t>Agreed: remove date of birth, street address and ID fields.</t>
        </is>
      </c>
      <c r="I33" s="6" t="inlineStr">
        <is>
          <t>M03-6 §11; DPDP data minimisation</t>
        </is>
      </c>
      <c r="J33" s="10" t="inlineStr">
        <is>
          <t>To update</t>
        </is>
      </c>
      <c r="K33" s="10" t="inlineStr"/>
    </row>
    <row r="34">
      <c r="A34" s="6" t="n">
        <v>33</v>
      </c>
      <c r="B34" s="6" t="inlineStr">
        <is>
          <t>Farmer</t>
        </is>
      </c>
      <c r="C34" s="6" t="inlineStr">
        <is>
          <t>Farmer profile</t>
        </is>
      </c>
      <c r="D34" s="8" t="inlineStr">
        <is>
          <t>203:17021</t>
        </is>
      </c>
      <c r="E34" s="9" t="inlineStr">
        <is>
          <t>High</t>
        </is>
      </c>
      <c r="F34" s="6" t="inlineStr">
        <is>
          <t>Uses the generic individual identity form (legal name, date of birth, address, typed passport). There is nothing about trees or land, and no field-agent route.</t>
        </is>
      </c>
      <c r="G34" s="6" t="inlineStr">
        <is>
          <t>Farmer simple mode (S09), one question per screen. About you: name, name in Assamese / Bengali / Hindi, village, district. Your trees: where, land size (bigha / katha / acre / hectare), which trees, about how many, when planted (“around 2015” / “I don’t know yet”), with public/private switches. How to get verified: “I’ll do it myself” or “A field agent or my FPO will visit me”. Land paper photo: jamabandi, khatian, patta, chitha, lease, FPO letter, village council / Gaon Burah certificate, forest-rights title. “No ID card?” → council certificate through the field agent. “Call my field agent” on every screen.</t>
        </is>
      </c>
      <c r="H34" s="11" t="inlineStr">
        <is>
          <t>CHANGED (25 Sep): farmer simple wizard About you → Your trees (optional, self-declared: tree type, how many, age) → Get verified (ID check or field agent) → Links (optional). No land paper, forest number, plantation name, area or map pin — those go on the listing.</t>
        </is>
      </c>
      <c r="I34" s="6" t="inlineStr">
        <is>
          <t>PRD-ROL-017/037; M03-6 §10; decision F4</t>
        </is>
      </c>
      <c r="J34" s="10" t="inlineStr">
        <is>
          <t>To update</t>
        </is>
      </c>
      <c r="K34" s="10" t="inlineStr"/>
    </row>
    <row r="35">
      <c r="A35" s="6" t="n">
        <v>34</v>
      </c>
      <c r="B35" s="6" t="inlineStr">
        <is>
          <t>Farmer</t>
        </is>
      </c>
      <c r="C35" s="6" t="inlineStr">
        <is>
          <t>Farmer: social links step</t>
        </is>
      </c>
      <c r="D35" s="8" t="inlineStr">
        <is>
          <t>203:17648</t>
        </is>
      </c>
      <c r="E35" s="13" t="inlineStr">
        <is>
          <t>Low</t>
        </is>
      </c>
      <c r="F35" s="6" t="inlineStr">
        <is>
          <t>Farmers are asked for Website, Instagram, WhatsApp and Facebook.</t>
        </is>
      </c>
      <c r="G35" s="6" t="inlineStr">
        <is>
          <t>Remove this step for farmers.</t>
        </is>
      </c>
      <c r="H35" s="11" t="inlineStr">
        <is>
          <t>CHANGED: keep the links step for farmers as OPTIONAL (skippable). Website and social only, shown after verification; no WhatsApp or phone.</t>
        </is>
      </c>
      <c r="I35" s="6" t="inlineStr">
        <is>
          <t>M03-6 §10</t>
        </is>
      </c>
      <c r="J35" s="10" t="inlineStr">
        <is>
          <t>To update</t>
        </is>
      </c>
      <c r="K35" s="10" t="inlineStr"/>
    </row>
    <row r="36">
      <c r="A36" s="6" t="n">
        <v>35</v>
      </c>
      <c r="B36" s="6" t="inlineStr">
        <is>
          <t>Farmer</t>
        </is>
      </c>
      <c r="C36" s="6" t="inlineStr">
        <is>
          <t>Farmer preview</t>
        </is>
      </c>
      <c r="D36" s="8" t="inlineStr">
        <is>
          <t>203:18192</t>
        </is>
      </c>
      <c r="E36" s="9" t="inlineStr">
        <is>
          <t>High</t>
        </is>
      </c>
      <c r="F36" s="6" t="inlineStr">
        <is>
          <t>Legal name, date of birth, address, ID, time zone, working days and contact hours all marked PUBLIC. Role reads “Farmer — permanent”.</t>
        </is>
      </c>
      <c r="G36" s="6" t="inlineStr">
        <is>
          <t>Public: first name or display name, district, tree type, tree count range and age, badges. Role can be corrected before first submission and changed later by request, so drop “permanent”.</t>
        </is>
      </c>
      <c r="H36" s="6" t="inlineStr">
        <is>
          <t>Agreed.</t>
        </is>
      </c>
      <c r="I36" s="6" t="inlineStr">
        <is>
          <t>M03-6 §10 (What is public); PRD-ROL-009</t>
        </is>
      </c>
      <c r="J36" s="10" t="inlineStr">
        <is>
          <t>To update</t>
        </is>
      </c>
      <c r="K36" s="10" t="inlineStr"/>
    </row>
    <row r="37">
      <c r="A37" s="6" t="n">
        <v>36</v>
      </c>
      <c r="B37" s="6" t="inlineStr">
        <is>
          <t>Company / Nursery / Inoculation</t>
        </is>
      </c>
      <c r="C37" s="6" t="inlineStr">
        <is>
          <t>Company details</t>
        </is>
      </c>
      <c r="D37" s="8" t="inlineStr">
        <is>
          <t>138:29690</t>
        </is>
      </c>
      <c r="E37" s="9" t="inlineStr">
        <is>
          <t>High</t>
        </is>
      </c>
      <c r="F37" s="6" t="inlineStr">
        <is>
          <t>Same as Seller: all IDs optional and no company-specific proof.</t>
        </is>
      </c>
      <c r="G37" s="6" t="inlineStr">
        <is>
          <t>Company higher bar: company number (CIN / LLPIN, or co-operative / producer-company registration) required; board resolution or authority letter; checkbox “We are a Co-operative / FPO” for the badge.</t>
        </is>
      </c>
      <c r="H37" s="6" t="inlineStr">
        <is>
          <t>Agreed: company higher bar.</t>
        </is>
      </c>
      <c r="I37" s="6" t="inlineStr">
        <is>
          <t>PRD-ROL-027; M03-6 §5.2–5.3</t>
        </is>
      </c>
      <c r="J37" s="10" t="inlineStr">
        <is>
          <t>To update</t>
        </is>
      </c>
      <c r="K37" s="10" t="inlineStr"/>
    </row>
    <row r="38">
      <c r="A38" s="6" t="n">
        <v>37</v>
      </c>
      <c r="B38" s="6" t="inlineStr">
        <is>
          <t>Company / Nursery / Inoculation</t>
        </is>
      </c>
      <c r="C38" s="6" t="inlineStr">
        <is>
          <t>Nursery documents and interests</t>
        </is>
      </c>
      <c r="D38" s="8" t="inlineStr">
        <is>
          <t>283:38514</t>
        </is>
      </c>
      <c r="E38" s="12" t="inlineStr">
        <is>
          <t>Medium</t>
        </is>
      </c>
      <c r="F38" s="6" t="inlineStr">
        <is>
          <t>No nursery licence slot. Area of Interest shows Processing, Distillation &amp; Manufacturing and Services lists for a nursery.</t>
        </is>
      </c>
      <c r="G38" s="6" t="inlineStr">
        <is>
          <t>Add the Nursery document set (state nursery registration / licence where the state requires it) to the checklist. Show only the categories allowed for the Nursery role.</t>
        </is>
      </c>
      <c r="H38" s="6" t="inlineStr">
        <is>
          <t>Agreed.</t>
        </is>
      </c>
      <c r="I38" s="6" t="inlineStr">
        <is>
          <t>PRD-ROL-027; PRD-TAX-005</t>
        </is>
      </c>
      <c r="J38" s="10" t="inlineStr">
        <is>
          <t>To update</t>
        </is>
      </c>
      <c r="K38" s="10" t="inlineStr"/>
    </row>
    <row r="39">
      <c r="A39" s="6" t="n">
        <v>38</v>
      </c>
      <c r="B39" s="6" t="inlineStr">
        <is>
          <t>Company / Nursery / Inoculation</t>
        </is>
      </c>
      <c r="C39" s="6" t="inlineStr">
        <is>
          <t>Inoculation Provider — Your Capability</t>
        </is>
      </c>
      <c r="D39" s="8" t="inlineStr">
        <is>
          <t>275:36359</t>
        </is>
      </c>
      <c r="E39" s="13" t="inlineStr">
        <is>
          <t>Low</t>
        </is>
      </c>
      <c r="F39" s="6" t="inlineStr">
        <is>
          <t>Good screen: techniques, species, coverage from a fixed list, private service radius and capacity. The subtitle says “what buyers search when they need a treatment done”.</t>
        </is>
      </c>
      <c r="G39" s="6" t="inlineStr">
        <is>
          <t>Subtitle: “what growers see when they need a treatment done”. Show the “Capacity and service area” card on the dashboard. Consider showing capacity publicly as a range.</t>
        </is>
      </c>
      <c r="H39" s="6" t="inlineStr">
        <is>
          <t>Agreed.</t>
        </is>
      </c>
      <c r="I39" s="6" t="inlineStr">
        <is>
          <t>M03-6 §3.3</t>
        </is>
      </c>
      <c r="J39" s="10" t="inlineStr">
        <is>
          <t>To update</t>
        </is>
      </c>
      <c r="K39" s="10" t="inlineStr"/>
    </row>
    <row r="40">
      <c r="A40" s="6" t="n">
        <v>39</v>
      </c>
      <c r="B40" s="6" t="inlineStr">
        <is>
          <t>Own profile</t>
        </is>
      </c>
      <c r="C40" s="6" t="inlineStr">
        <is>
          <t>My profile</t>
        </is>
      </c>
      <c r="D40" s="8" t="inlineStr">
        <is>
          <t>152:32872</t>
        </is>
      </c>
      <c r="E40" s="12" t="inlineStr">
        <is>
          <t>Medium</t>
        </is>
      </c>
      <c r="F40" s="6" t="inlineStr">
        <is>
          <t>Role says “Fixed at signup and not switchable”. WhatsApp shown publicly. A “Trusted” tier (90 days, 10 reviews) isn’t in our documents. Response rate 92%.</t>
        </is>
      </c>
      <c r="G40" s="6" t="inlineStr">
        <is>
          <t>Role: “To change your role, send a role change request.” No WhatsApp or phone on the public profile. Remove the Trusted tier or raise it as a new decision. Use our single seller reply measure: “Replies within 24 hours”.</t>
        </is>
      </c>
      <c r="H40" s="11" t="inlineStr">
        <is>
          <t>CHANGED (25 Sep): My profile = status chip, badges and “See how buyers see it” at the top, then section cards in wizard order, each with Edit (the same form as the wizard) or a lock with the reason. Role: “To change your role, send a role change request.” No WhatsApp or phone anywhere public. “Trusted” only from R2 with M10 rules (remove 90 days / 10 reviews). “Replies within 24 hours: {n} %”. Editing a re-check field opens a warning first.</t>
        </is>
      </c>
      <c r="I40" s="6" t="inlineStr">
        <is>
          <t>PRD-ROL-009; PRD-ROL-034; decision D16</t>
        </is>
      </c>
      <c r="J40" s="10" t="inlineStr">
        <is>
          <t>To update</t>
        </is>
      </c>
      <c r="K40" s="10" t="inlineStr"/>
    </row>
  </sheetData>
  <autoFilter ref="A1:K40"/>
  <dataValidations count="1">
    <dataValidation sqref="J2:J40" showDropDown="0" showInputMessage="0" showErrorMessage="0" allowBlank="1" type="list">
      <formula1>"To update,Fixed,Discuss,Won't fix"</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1" r:id="rId19"/>
    <hyperlink xmlns:r="http://schemas.openxmlformats.org/officeDocument/2006/relationships" ref="D22" r:id="rId20"/>
    <hyperlink xmlns:r="http://schemas.openxmlformats.org/officeDocument/2006/relationships" ref="D23" r:id="rId21"/>
    <hyperlink xmlns:r="http://schemas.openxmlformats.org/officeDocument/2006/relationships" ref="D24" r:id="rId22"/>
    <hyperlink xmlns:r="http://schemas.openxmlformats.org/officeDocument/2006/relationships" ref="D25" r:id="rId23"/>
    <hyperlink xmlns:r="http://schemas.openxmlformats.org/officeDocument/2006/relationships" ref="D26" r:id="rId24"/>
    <hyperlink xmlns:r="http://schemas.openxmlformats.org/officeDocument/2006/relationships" ref="D27" r:id="rId25"/>
    <hyperlink xmlns:r="http://schemas.openxmlformats.org/officeDocument/2006/relationships" ref="D28" r:id="rId26"/>
    <hyperlink xmlns:r="http://schemas.openxmlformats.org/officeDocument/2006/relationships" ref="D29" r:id="rId27"/>
    <hyperlink xmlns:r="http://schemas.openxmlformats.org/officeDocument/2006/relationships" ref="D30" r:id="rId28"/>
    <hyperlink xmlns:r="http://schemas.openxmlformats.org/officeDocument/2006/relationships" ref="D31" r:id="rId29"/>
    <hyperlink xmlns:r="http://schemas.openxmlformats.org/officeDocument/2006/relationships" ref="D32" r:id="rId30"/>
    <hyperlink xmlns:r="http://schemas.openxmlformats.org/officeDocument/2006/relationships" ref="D33" r:id="rId31"/>
    <hyperlink xmlns:r="http://schemas.openxmlformats.org/officeDocument/2006/relationships" ref="D34" r:id="rId32"/>
    <hyperlink xmlns:r="http://schemas.openxmlformats.org/officeDocument/2006/relationships" ref="D35" r:id="rId33"/>
    <hyperlink xmlns:r="http://schemas.openxmlformats.org/officeDocument/2006/relationships" ref="D36" r:id="rId34"/>
    <hyperlink xmlns:r="http://schemas.openxmlformats.org/officeDocument/2006/relationships" ref="D37" r:id="rId35"/>
    <hyperlink xmlns:r="http://schemas.openxmlformats.org/officeDocument/2006/relationships" ref="D38" r:id="rId36"/>
    <hyperlink xmlns:r="http://schemas.openxmlformats.org/officeDocument/2006/relationships" ref="D39" r:id="rId37"/>
    <hyperlink xmlns:r="http://schemas.openxmlformats.org/officeDocument/2006/relationships" ref="D40" r:id="rId3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40" customWidth="1" min="1" max="1"/>
    <col width="50" customWidth="1" min="2" max="2"/>
    <col width="45" customWidth="1" min="3" max="3"/>
    <col width="30" customWidth="1" min="4" max="4"/>
  </cols>
  <sheetData>
    <row r="1">
      <c r="A1" s="4" t="inlineStr">
        <is>
          <t>Figma screen</t>
        </is>
      </c>
      <c r="B1" s="4" t="inlineStr">
        <is>
          <t>Figma frame</t>
        </is>
      </c>
      <c r="C1" s="4" t="inlineStr">
        <is>
          <t>Our screen / section</t>
        </is>
      </c>
      <c r="D1" s="4" t="n"/>
    </row>
    <row r="2">
      <c r="A2" s="2" t="inlineStr">
        <is>
          <t>Sign in</t>
        </is>
      </c>
      <c r="B2" s="14" t="inlineStr">
        <is>
          <t>4:33</t>
        </is>
      </c>
      <c r="C2" s="2" t="inlineStr">
        <is>
          <t>M02-6 §6 Sign-in</t>
        </is>
      </c>
      <c r="D2" s="2" t="n"/>
    </row>
    <row r="3">
      <c r="A3" s="2" t="inlineStr">
        <is>
          <t>Role selection</t>
        </is>
      </c>
      <c r="B3" s="14" t="inlineStr">
        <is>
          <t>4:879</t>
        </is>
      </c>
      <c r="C3" s="2" t="inlineStr">
        <is>
          <t>M02-6 §4 Role · M03-6 §4 S01 link</t>
        </is>
      </c>
      <c r="D3" s="2" t="n"/>
    </row>
    <row r="4">
      <c r="A4" s="2" t="inlineStr">
        <is>
          <t>How do you trade? (Seller)</t>
        </is>
      </c>
      <c r="B4" s="14" t="inlineStr">
        <is>
          <t>4:1168</t>
        </is>
      </c>
      <c r="C4" s="2" t="inlineStr">
        <is>
          <t>Remove for business roles</t>
        </is>
      </c>
      <c r="D4" s="2" t="n"/>
    </row>
    <row r="5">
      <c r="A5" s="2" t="inlineStr">
        <is>
          <t>How do you buy? (Buyer)</t>
        </is>
      </c>
      <c r="B5" s="14" t="inlineStr">
        <is>
          <t>243:20259</t>
        </is>
      </c>
      <c r="C5" s="2" t="inlineStr">
        <is>
          <t>M02-6 §4 Buyer “For myself / For a business”</t>
        </is>
      </c>
      <c r="D5" s="2" t="n"/>
    </row>
    <row r="6">
      <c r="A6" s="2" t="inlineStr">
        <is>
          <t>Create your account</t>
        </is>
      </c>
      <c r="B6" s="14" t="inlineStr">
        <is>
          <t>4:1298</t>
        </is>
      </c>
      <c r="C6" s="2" t="inlineStr">
        <is>
          <t>M02-6 §4 Sign-up</t>
        </is>
      </c>
      <c r="D6" s="2" t="n"/>
    </row>
    <row r="7">
      <c r="A7" s="2" t="inlineStr">
        <is>
          <t>Consents</t>
        </is>
      </c>
      <c r="B7" s="14" t="inlineStr">
        <is>
          <t>12:1763</t>
        </is>
      </c>
      <c r="C7" s="2" t="inlineStr">
        <is>
          <t>M02-6 §4 Terms / M02 PRV</t>
        </is>
      </c>
      <c r="D7" s="2" t="n"/>
    </row>
    <row r="8">
      <c r="A8" s="2" t="inlineStr">
        <is>
          <t>Check your email / mobile + errors</t>
        </is>
      </c>
      <c r="B8" s="14" t="inlineStr">
        <is>
          <t>4:1717</t>
        </is>
      </c>
      <c r="C8" s="2" t="inlineStr">
        <is>
          <t>M02-6 §5 Code screens</t>
        </is>
      </c>
      <c r="D8" s="2" t="n"/>
    </row>
    <row r="9">
      <c r="A9" s="2" t="inlineStr">
        <is>
          <t>Account created / failed / server error</t>
        </is>
      </c>
      <c r="B9" s="14" t="inlineStr">
        <is>
          <t>14:2034</t>
        </is>
      </c>
      <c r="C9" s="2" t="inlineStr">
        <is>
          <t>M02-6 §4 Done / §4.2</t>
        </is>
      </c>
      <c r="D9" s="2" t="n"/>
    </row>
    <row r="10">
      <c r="A10" s="2" t="inlineStr">
        <is>
          <t>Seller dashboard</t>
        </is>
      </c>
      <c r="B10" s="14" t="inlineStr">
        <is>
          <t>31:11491</t>
        </is>
      </c>
      <c r="C10" s="2" t="inlineStr">
        <is>
          <t>M03-6 §3.3 S17</t>
        </is>
      </c>
      <c r="D10" s="2" t="n"/>
    </row>
    <row r="11">
      <c r="A11" s="2" t="inlineStr">
        <is>
          <t>Buyer dashboards</t>
        </is>
      </c>
      <c r="B11" s="14" t="inlineStr">
        <is>
          <t>243:20531</t>
        </is>
      </c>
      <c r="C11" s="2" t="inlineStr">
        <is>
          <t>M03-6 §3.2 S16</t>
        </is>
      </c>
      <c r="D11" s="2" t="n"/>
    </row>
    <row r="12">
      <c r="A12" s="2" t="inlineStr">
        <is>
          <t>Farmer dashboard</t>
        </is>
      </c>
      <c r="B12" s="14" t="inlineStr">
        <is>
          <t>203:14859</t>
        </is>
      </c>
      <c r="C12" s="2" t="inlineStr">
        <is>
          <t>M03-6 §3.4 S18</t>
        </is>
      </c>
      <c r="D12" s="2" t="n"/>
    </row>
    <row r="13">
      <c r="A13" s="2" t="inlineStr">
        <is>
          <t>Your Business Profile (step 1)</t>
        </is>
      </c>
      <c r="B13" s="14" t="inlineStr">
        <is>
          <t>35:13095</t>
        </is>
      </c>
      <c r="C13" s="2" t="inlineStr">
        <is>
          <t>M03-6 §5.2 S04 step 2 + S11</t>
        </is>
      </c>
      <c r="D13" s="2" t="n"/>
    </row>
    <row r="14">
      <c r="A14" s="2" t="inlineStr">
        <is>
          <t>Your Business Details (step 2)</t>
        </is>
      </c>
      <c r="B14" s="14" t="inlineStr">
        <is>
          <t>35:14373</t>
        </is>
      </c>
      <c r="C14" s="2" t="inlineStr">
        <is>
          <t>M03-6 §5.1 and §5.3 S04</t>
        </is>
      </c>
      <c r="D14" s="2" t="n"/>
    </row>
    <row r="15">
      <c r="A15" s="2" t="inlineStr">
        <is>
          <t>Area of Interest (step 3)</t>
        </is>
      </c>
      <c r="B15" s="14" t="inlineStr">
        <is>
          <t>167:34800</t>
        </is>
      </c>
      <c r="C15" s="2" t="inlineStr">
        <is>
          <t>M03-2 PRF-006 What I buy / offer (S11)</t>
        </is>
      </c>
      <c r="D15" s="2" t="n"/>
    </row>
    <row r="16">
      <c r="A16" s="2" t="inlineStr">
        <is>
          <t>Your Documents (step 4)</t>
        </is>
      </c>
      <c r="B16" s="14" t="inlineStr">
        <is>
          <t>35:14802</t>
        </is>
      </c>
      <c r="C16" s="2" t="inlineStr">
        <is>
          <t>M03-6 §8.1 S07</t>
        </is>
      </c>
      <c r="D16" s="2" t="n"/>
    </row>
    <row r="17">
      <c r="A17" s="2" t="inlineStr">
        <is>
          <t>Where You Operate (step 5)</t>
        </is>
      </c>
      <c r="B17" s="14" t="inlineStr">
        <is>
          <t>60:19803</t>
        </is>
      </c>
      <c r="C17" s="2" t="inlineStr">
        <is>
          <t>M03-6 §6 S05</t>
        </is>
      </c>
      <c r="D17" s="2" t="n"/>
    </row>
    <row r="18">
      <c r="A18" s="2" t="inlineStr">
        <is>
          <t>Bio &amp; Media / Social links (step 6)</t>
        </is>
      </c>
      <c r="B18" s="14" t="inlineStr">
        <is>
          <t>186:717</t>
        </is>
      </c>
      <c r="C18" s="2" t="inlineStr">
        <is>
          <t>M03-6 §12 S11</t>
        </is>
      </c>
      <c r="D18" s="2" t="n"/>
    </row>
    <row r="19">
      <c r="A19" s="2" t="inlineStr">
        <is>
          <t>Your Capability (Inoculation)</t>
        </is>
      </c>
      <c r="B19" s="14" t="inlineStr">
        <is>
          <t>275:36359</t>
        </is>
      </c>
      <c r="C19" s="2" t="inlineStr">
        <is>
          <t>M03-6 §3.3 capacity card / S11</t>
        </is>
      </c>
      <c r="D19" s="2" t="n"/>
    </row>
    <row r="20">
      <c r="A20" s="2" t="inlineStr">
        <is>
          <t>Preview (step 7)</t>
        </is>
      </c>
      <c r="B20" s="14" t="inlineStr">
        <is>
          <t>35:15877</t>
        </is>
      </c>
      <c r="C20" s="2" t="inlineStr">
        <is>
          <t>M03-6 §15 S02 preview</t>
        </is>
      </c>
      <c r="D20" s="2" t="n"/>
    </row>
    <row r="21">
      <c r="A21" s="2" t="inlineStr">
        <is>
          <t>Individual profile (buyer/farmer)</t>
        </is>
      </c>
      <c r="B21" s="14" t="inlineStr">
        <is>
          <t>256:28609</t>
        </is>
      </c>
      <c r="C21" s="2" t="inlineStr">
        <is>
          <t>Buyer → S10 · Farmer → S09 · ID → S06</t>
        </is>
      </c>
      <c r="D21" s="2" t="n"/>
    </row>
    <row r="22">
      <c r="A22" s="2" t="inlineStr">
        <is>
          <t>Submitted / Not approved / Verified</t>
        </is>
      </c>
      <c r="B22" s="14" t="inlineStr">
        <is>
          <t>35:16772</t>
        </is>
      </c>
      <c r="C22" s="2" t="inlineStr">
        <is>
          <t>M03-6 §8.2 states</t>
        </is>
      </c>
      <c r="D22" s="2" t="n"/>
    </row>
    <row r="23">
      <c r="A23" s="2" t="inlineStr">
        <is>
          <t>My profile (own view)</t>
        </is>
      </c>
      <c r="B23" s="14" t="inlineStr">
        <is>
          <t>152:32872</t>
        </is>
      </c>
      <c r="C23" s="2" t="inlineStr">
        <is>
          <t>M03-6 §15 S02 + S11 (tomorrow)</t>
        </is>
      </c>
      <c r="D23" s="2" t="n"/>
    </row>
    <row r="24">
      <c r="A24" s="2" t="n"/>
      <c r="B24" s="2" t="n"/>
      <c r="C24" s="2" t="n"/>
      <c r="D24" s="2" t="n"/>
    </row>
    <row r="25">
      <c r="A25" s="15" t="inlineStr">
        <is>
          <t>Our screens not yet in Figma (or only partly)</t>
        </is>
      </c>
      <c r="B25" s="2" t="inlineStr"/>
      <c r="C25" s="2" t="inlineStr"/>
      <c r="D25" s="2" t="n"/>
    </row>
    <row r="26">
      <c r="A26" s="16" t="inlineStr">
        <is>
          <t>Our screen ID</t>
        </is>
      </c>
      <c r="B26" s="16" t="inlineStr">
        <is>
          <t>Screen</t>
        </is>
      </c>
      <c r="C26" s="16" t="inlineStr">
        <is>
          <t>Figma status</t>
        </is>
      </c>
      <c r="D26" s="16" t="inlineStr">
        <is>
          <t>Who</t>
        </is>
      </c>
    </row>
    <row r="27">
      <c r="A27" s="2" t="inlineStr">
        <is>
          <t>S01</t>
        </is>
      </c>
      <c r="B27" s="2" t="inlineStr">
        <is>
          <t>Which role fits me? (public page + sign-up side panel)</t>
        </is>
      </c>
      <c r="C27" s="2" t="inlineStr">
        <is>
          <t>Not in Figma — decided 25 Sep, to draw</t>
        </is>
      </c>
      <c r="D27" s="2" t="inlineStr">
        <is>
          <t>Role selection</t>
        </is>
      </c>
    </row>
    <row r="28">
      <c r="A28" s="2" t="inlineStr">
        <is>
          <t>—</t>
        </is>
      </c>
      <c r="B28" s="2" t="inlineStr">
        <is>
          <t>Invitation landing, “ended” layout, “This isn’t my role” (two choices)</t>
        </is>
      </c>
      <c r="C28" s="2" t="inlineStr">
        <is>
          <t>Not in Figma — decided 25 Sep, to draw</t>
        </is>
      </c>
      <c r="D28" s="2" t="inlineStr">
        <is>
          <t>Sign-up</t>
        </is>
      </c>
    </row>
    <row r="29">
      <c r="A29" s="2" t="inlineStr">
        <is>
          <t>S04–S07</t>
        </is>
      </c>
      <c r="B29" s="2" t="inlineStr">
        <is>
          <t>Setup wizard steps 2, 3, 5, 6 (business details, identity, documents, locations)</t>
        </is>
      </c>
      <c r="C29" s="2" t="inlineStr">
        <is>
          <t>Partly — follow the 8-step wizard (25 Sep)</t>
        </is>
      </c>
      <c r="D29" s="2" t="inlineStr">
        <is>
          <t>Business roles</t>
        </is>
      </c>
    </row>
    <row r="30">
      <c r="A30" s="2" t="inlineStr">
        <is>
          <t>S06</t>
        </is>
      </c>
      <c r="B30" s="2" t="inlineStr">
        <is>
          <t>Check your identity (wizard step 3)</t>
        </is>
      </c>
      <c r="C30" s="2" t="inlineStr">
        <is>
          <t>Not in Figma — to draw</t>
        </is>
      </c>
      <c r="D30" s="2" t="inlineStr">
        <is>
          <t>All roles</t>
        </is>
      </c>
    </row>
    <row r="31">
      <c r="A31" s="2" t="inlineStr">
        <is>
          <t>S08</t>
        </is>
      </c>
      <c r="B31" s="2" t="inlineStr">
        <is>
          <t>Enhanced check (business sellers only; optional bank check)</t>
        </is>
      </c>
      <c r="C31" s="2" t="inlineStr">
        <is>
          <t>Not in Figma — decided 25 Sep, to draw now</t>
        </is>
      </c>
      <c r="D31" s="2" t="inlineStr">
        <is>
          <t>Seller, Company, Nursery, Inoculation Provider</t>
        </is>
      </c>
    </row>
    <row r="32">
      <c r="A32" s="2" t="inlineStr">
        <is>
          <t>S09</t>
        </is>
      </c>
      <c r="B32" s="2" t="inlineStr">
        <is>
          <t>Farmer simple wizard (About you, Your trees, Get verified, Links)</t>
        </is>
      </c>
      <c r="C32" s="2" t="inlineStr">
        <is>
          <t>Not as designed — decided 25 Sep, to draw</t>
        </is>
      </c>
      <c r="D32" s="2" t="inlineStr">
        <is>
          <t>Farmer</t>
        </is>
      </c>
    </row>
    <row r="33">
      <c r="A33" s="2" t="inlineStr">
        <is>
          <t>S10</t>
        </is>
      </c>
      <c r="B33" s="2" t="inlineStr">
        <is>
          <t>Buyer 1-minute profile</t>
        </is>
      </c>
      <c r="C33" s="2" t="inlineStr">
        <is>
          <t>Not as designed (seller wizard used)</t>
        </is>
      </c>
      <c r="D33" s="2" t="inlineStr">
        <is>
          <t>Buyer</t>
        </is>
      </c>
    </row>
    <row r="34">
      <c r="A34" s="2" t="inlineStr">
        <is>
          <t>S11</t>
        </is>
      </c>
      <c r="B34" s="2" t="inlineStr">
        <is>
          <t>Section forms (same as wizard steps) + My profile</t>
        </is>
      </c>
      <c r="C34" s="2" t="inlineStr">
        <is>
          <t>Partly — decided 25 Sep</t>
        </is>
      </c>
      <c r="D34" s="2" t="inlineStr">
        <is>
          <t>All roles</t>
        </is>
      </c>
    </row>
    <row r="35">
      <c r="A35" s="2" t="inlineStr">
        <is>
          <t>S12</t>
        </is>
      </c>
      <c r="B35" s="2" t="inlineStr">
        <is>
          <t>Role change: role card, request, status</t>
        </is>
      </c>
      <c r="C35" s="2" t="inlineStr">
        <is>
          <t>Not in Figma — decided 25 Sep, to draw</t>
        </is>
      </c>
      <c r="D35" s="2" t="inlineStr">
        <is>
          <t>All roles</t>
        </is>
      </c>
    </row>
    <row r="36">
      <c r="A36" s="2" t="inlineStr">
        <is>
          <t>S13–S15</t>
        </is>
      </c>
      <c r="B36" s="2" t="inlineStr">
        <is>
          <t>Field agent (phone), farm visit report (phone), FPO member farmers</t>
        </is>
      </c>
      <c r="C36" s="2" t="inlineStr">
        <is>
          <t>Not in Figma — decided 25 Sep, to draw now</t>
        </is>
      </c>
      <c r="D36" s="2" t="inlineStr">
        <is>
          <t>Field agents, FPOs</t>
        </is>
      </c>
    </row>
    <row r="37">
      <c r="A37" s="2" t="inlineStr">
        <is>
          <t>S16–S18</t>
        </is>
      </c>
      <c r="B37" s="2" t="inlineStr">
        <is>
          <t>Buyer home, Seller dashboard, Farmer dashboard</t>
        </is>
      </c>
      <c r="C37" s="2" t="inlineStr">
        <is>
          <t>Present but buyer/farmer use the seller layout</t>
        </is>
      </c>
      <c r="D37" s="2" t="inlineStr">
        <is>
          <t>All roles</t>
        </is>
      </c>
    </row>
    <row r="38">
      <c r="A38" s="2" t="inlineStr">
        <is>
          <t>S03</t>
        </is>
      </c>
      <c r="B38" s="2" t="inlineStr">
        <is>
          <t>“Make your profile stronger” card (no page)</t>
        </is>
      </c>
      <c r="C38" s="2" t="inlineStr">
        <is>
          <t>Not in Figma — decided 25 Sep, to draw</t>
        </is>
      </c>
      <c r="D38" s="2" t="inlineStr">
        <is>
          <t>All roles</t>
        </is>
      </c>
    </row>
    <row r="39">
      <c r="A39" s="2" t="inlineStr">
        <is>
          <t>S02</t>
        </is>
      </c>
      <c r="B39" s="2" t="inlineStr">
        <is>
          <t>Public profile trust section</t>
        </is>
      </c>
      <c r="C39" s="2" t="inlineStr">
        <is>
          <t>Partly — see My profile decision</t>
        </is>
      </c>
      <c r="D39" s="2" t="inlineStr">
        <is>
          <t>All roles</t>
        </is>
      </c>
    </row>
    <row r="40">
      <c r="A40" s="2" t="inlineStr">
        <is>
          <t>—</t>
        </is>
      </c>
      <c r="B40" s="2" t="inlineStr">
        <is>
          <t>Phone layouts of sign-up, wizard, farmer, buyer, dashboards, My profile</t>
        </is>
      </c>
      <c r="C40" s="2" t="inlineStr">
        <is>
          <t>Not in Figma — needed before development</t>
        </is>
      </c>
      <c r="D40" s="2" t="inlineStr">
        <is>
          <t>All roles</t>
        </is>
      </c>
    </row>
    <row r="41">
      <c r="A41" s="2" t="inlineStr">
        <is>
          <t>A–C</t>
        </is>
      </c>
      <c r="B41" s="2" t="inlineStr">
        <is>
          <t>Staff: verification review, role change decision, farm visit review</t>
        </is>
      </c>
      <c r="C41" s="2" t="inlineStr">
        <is>
          <t>With the admin console (Module 15)</t>
        </is>
      </c>
      <c r="D41" s="2" t="inlineStr">
        <is>
          <t>Staff</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97"/>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22" customWidth="1" min="3" max="3"/>
    <col width="55" customWidth="1" min="4" max="4"/>
    <col width="22" customWidth="1" min="5" max="5"/>
    <col width="55" customWidth="1" min="6" max="6"/>
  </cols>
  <sheetData>
    <row r="1">
      <c r="A1" s="5" t="inlineStr">
        <is>
          <t>Screen</t>
        </is>
      </c>
      <c r="B1" s="5" t="inlineStr">
        <is>
          <t>Field</t>
        </is>
      </c>
      <c r="C1" s="5" t="inlineStr">
        <is>
          <t>Action</t>
        </is>
      </c>
      <c r="D1" s="5" t="inlineStr">
        <is>
          <t>Stored in</t>
        </is>
      </c>
      <c r="E1" s="5" t="inlineStr">
        <is>
          <t>Public/Private</t>
        </is>
      </c>
      <c r="F1" s="5" t="inlineStr">
        <is>
          <t>Notes</t>
        </is>
      </c>
    </row>
    <row r="2">
      <c r="A2" s="6" t="inlineStr">
        <is>
          <t>Sign in</t>
        </is>
      </c>
      <c r="B2" s="6" t="inlineStr">
        <is>
          <t>Mobile number or email</t>
        </is>
      </c>
      <c r="C2" s="6" t="inlineStr">
        <is>
          <t>Change (Figma: email only)</t>
        </is>
      </c>
      <c r="D2" s="6" t="inlineStr">
        <is>
          <t>NOT STORED (by design) — lookup against identity.accounts.phone / identity.accounts.email; failed tries logged as identity.security_events.identifier_hash</t>
        </is>
      </c>
      <c r="E2" s="6" t="inlineStr">
        <is>
          <t>n/a</t>
        </is>
      </c>
      <c r="F2" s="6" t="inlineStr">
        <is>
          <t>M02-2 SIN-001, SIN-004; M02-6 §6. Same error whether or not an account exists.</t>
        </is>
      </c>
    </row>
    <row r="3">
      <c r="A3" s="6" t="inlineStr">
        <is>
          <t>Sign in</t>
        </is>
      </c>
      <c r="B3" s="6" t="inlineStr">
        <is>
          <t>Password (show / hide)</t>
        </is>
      </c>
      <c r="C3" s="6" t="inlineStr">
        <is>
          <t>Change (add show / hide)</t>
        </is>
      </c>
      <c r="D3" s="6" t="inlineStr">
        <is>
          <t>NOT STORED (by design) in our schema — Keycloak credential (Argon2id); identity.accounts.password_set mirrors it</t>
        </is>
      </c>
      <c r="E3" s="6" t="inlineStr">
        <is>
          <t>n/a</t>
        </is>
      </c>
      <c r="F3" s="6" t="inlineStr">
        <is>
          <t>M02-2 SIN-002, SIN-003; M02-5 §2.1, §11; M02-6 §6.</t>
        </is>
      </c>
    </row>
    <row r="4">
      <c r="A4" s="6" t="inlineStr">
        <is>
          <t>Sign in</t>
        </is>
      </c>
      <c r="B4" s="6" t="inlineStr">
        <is>
          <t>Public or shared device (checkbox)</t>
        </is>
      </c>
      <c r="C4" s="6" t="inlineStr">
        <is>
          <t>Change (replaces 'Remember me')</t>
        </is>
      </c>
      <c r="D4" s="6" t="inlineStr">
        <is>
          <t>NOT STORED (by design) — session-only Keycloak session</t>
        </is>
      </c>
      <c r="E4" s="6" t="inlineStr">
        <is>
          <t>n/a</t>
        </is>
      </c>
      <c r="F4" s="6" t="inlineStr">
        <is>
          <t>M02-2 SES-002; M02-6 §6. 'Remember this device' is on the code screen.</t>
        </is>
      </c>
    </row>
    <row r="5">
      <c r="A5" s="6" t="inlineStr">
        <is>
          <t>Sign in</t>
        </is>
      </c>
      <c r="B5" s="6" t="inlineStr">
        <is>
          <t>Continue with Google</t>
        </is>
      </c>
      <c r="C5" s="6" t="inlineStr">
        <is>
          <t>Keep</t>
        </is>
      </c>
      <c r="D5" s="6" t="inlineStr">
        <is>
          <t>identity.external_identities (provider = google, provider_subject, provider_email, linked_at, last_used_at)</t>
        </is>
      </c>
      <c r="E5" s="6" t="inlineStr">
        <is>
          <t>Private</t>
        </is>
      </c>
      <c r="F5" s="6" t="inlineStr">
        <is>
          <t>M02-2 SIN-005, SIN-006; M02-5 §3.5; M02-6 §6.</t>
        </is>
      </c>
    </row>
    <row r="6">
      <c r="A6" s="6" t="inlineStr">
        <is>
          <t>Sign in</t>
        </is>
      </c>
      <c r="B6" s="6" t="inlineStr">
        <is>
          <t>Continue with Apple</t>
        </is>
      </c>
      <c r="C6" s="6" t="inlineStr">
        <is>
          <t>Add</t>
        </is>
      </c>
      <c r="D6" s="6" t="inlineStr">
        <is>
          <t>identity.external_identities (provider = apple, provider_email_is_relay, provider_given_name / provider_family_name); identity.accounts.email_is_private_relay</t>
        </is>
      </c>
      <c r="E6" s="6" t="inlineStr">
        <is>
          <t>Private</t>
        </is>
      </c>
      <c r="F6" s="6" t="inlineStr">
        <is>
          <t>M02-2 SIN-005, SIN-008, SIN-011; M02-5 §3.5; M02-6 §4.1, §6.</t>
        </is>
      </c>
    </row>
    <row r="7">
      <c r="A7" s="6" t="inlineStr">
        <is>
          <t>Sign in</t>
        </is>
      </c>
      <c r="B7" s="6" t="inlineStr">
        <is>
          <t>Forgot password? · I can't use my phone (links)</t>
        </is>
      </c>
      <c r="C7" s="6" t="inlineStr">
        <is>
          <t>Keep / Add</t>
        </is>
      </c>
      <c r="D7" s="6" t="inlineStr">
        <is>
          <t>identity.recovery_requests (tier = forgot_password / lost_phone)</t>
        </is>
      </c>
      <c r="E7" s="6" t="inlineStr">
        <is>
          <t>Private</t>
        </is>
      </c>
      <c r="F7" s="6" t="inlineStr">
        <is>
          <t>M02-2 REC-001, REC-003; M02-5 §4.3; M02-6 §6–7.</t>
        </is>
      </c>
    </row>
    <row r="8">
      <c r="A8" s="6" t="inlineStr">
        <is>
          <t>Sign in</t>
        </is>
      </c>
      <c r="B8" s="6" t="inlineStr">
        <is>
          <t>New to OudhTrade? Create an account (link)</t>
        </is>
      </c>
      <c r="C8" s="6" t="inlineStr">
        <is>
          <t>Change (was 'Don't have account yet? Sign up')</t>
        </is>
      </c>
      <c r="D8" s="6" t="inlineStr">
        <is>
          <t>NOT STORED (by design) — link</t>
        </is>
      </c>
      <c r="E8" s="6" t="inlineStr">
        <is>
          <t>n/a</t>
        </is>
      </c>
      <c r="F8" s="6" t="inlineStr">
        <is>
          <t>M02-2 SUP-008 (open sign-up, no waitlist); M02-6 §6.</t>
        </is>
      </c>
    </row>
    <row r="9">
      <c r="A9" s="6" t="inlineStr">
        <is>
          <t>Role selection</t>
        </is>
      </c>
      <c r="B9" s="6" t="inlineStr">
        <is>
          <t>I am joining as — role card (Buyer · Seller · Company · Nursery · Inoculation Provider · Farmer)</t>
        </is>
      </c>
      <c r="C9" s="6" t="inlineStr">
        <is>
          <t>Keep (fix button label 'Continue as {role}')</t>
        </is>
      </c>
      <c r="D9" s="6" t="inlineStr">
        <is>
          <t>identity.accounts.declared_role → profile.role_assignments.role (source = signup)</t>
        </is>
      </c>
      <c r="E9" s="6" t="inlineStr">
        <is>
          <t>Public (role shown on storefront)</t>
        </is>
      </c>
      <c r="F9" s="6" t="inlineStr">
        <is>
          <t>M02-2 SUP-016; M02-5 §2.1; M03-5 §2.3; M02-6 §4. No card chosen at start.</t>
        </is>
      </c>
    </row>
    <row r="10">
      <c r="A10" s="6" t="inlineStr">
        <is>
          <t>Role selection</t>
        </is>
      </c>
      <c r="B10" s="6" t="inlineStr">
        <is>
          <t>Which role fits me? (link to S01)</t>
        </is>
      </c>
      <c r="C10" s="6" t="inlineStr">
        <is>
          <t>Add</t>
        </is>
      </c>
      <c r="D10" s="6" t="inlineStr">
        <is>
          <t>NOT STORED (by design) — helper screen; reads profile.document_checklists</t>
        </is>
      </c>
      <c r="E10" s="6" t="inlineStr">
        <is>
          <t>n/a</t>
        </is>
      </c>
      <c r="F10" s="6" t="inlineStr">
        <is>
          <t>M03-6 §4; M03-5 §4.1.</t>
        </is>
      </c>
    </row>
    <row r="11">
      <c r="A11" s="6" t="inlineStr">
        <is>
          <t>Role selection</t>
        </is>
      </c>
      <c r="B11" s="6" t="inlineStr">
        <is>
          <t>Invitation role pre-fill (via invite link only)</t>
        </is>
      </c>
      <c r="C11" s="6" t="inlineStr">
        <is>
          <t>Add</t>
        </is>
      </c>
      <c r="D11" s="6" t="inlineStr">
        <is>
          <t>identity.accounts.invitation_id, invited_by; identity.invitations.allowed_roles, role_request_role / role_request_note</t>
        </is>
      </c>
      <c r="E11" s="6" t="inlineStr">
        <is>
          <t>Private</t>
        </is>
      </c>
      <c r="F11" s="6" t="inlineStr">
        <is>
          <t>M02-2 SUP-018, SUP-019; M02-5 §2.1, §3.1; M02-6 §3.1, §3.3.</t>
        </is>
      </c>
    </row>
    <row r="12">
      <c r="A12" s="6" t="inlineStr">
        <is>
          <t>Buyer type</t>
        </is>
      </c>
      <c r="B12" s="6" t="inlineStr">
        <is>
          <t>'How do you trade?' Individual / Business step (Seller, Company, Nursery, Inoculation Provider)</t>
        </is>
      </c>
      <c r="C12" s="6" t="inlineStr">
        <is>
          <t>Remove</t>
        </is>
      </c>
      <c r="D12" s="6" t="inlineStr">
        <is>
          <t>NOT STORED (by design) — business roles always have profile.profiles.profile_kind = business (ck_role_assignments_role_kind)</t>
        </is>
      </c>
      <c r="E12" s="6" t="inlineStr">
        <is>
          <t>n/a</t>
        </is>
      </c>
      <c r="F12" s="6" t="inlineStr">
        <is>
          <t>Decision 2; M03-5 §2.1, §2.3.</t>
        </is>
      </c>
    </row>
    <row r="13">
      <c r="A13" s="6" t="inlineStr">
        <is>
          <t>Buyer type</t>
        </is>
      </c>
      <c r="B13" s="6" t="inlineStr">
        <is>
          <t>Buyer: For myself · For a business</t>
        </is>
      </c>
      <c r="C13" s="6" t="inlineStr">
        <is>
          <t>Change (inside the Buyer role card at sign-up; buyer copy, not seller 'publishing' copy)</t>
        </is>
      </c>
      <c r="D13" s="6" t="inlineStr">
        <is>
          <t>identity.accounts.declared_buyer_kind → profile.profiles.profile_kind; profile.role_assignments.profile_kind</t>
        </is>
      </c>
      <c r="E13" s="6" t="inlineStr">
        <is>
          <t>Shown to sellers the buyer contacts ('Business buyer / Individual buyer')</t>
        </is>
      </c>
      <c r="F13" s="6" t="inlineStr">
        <is>
          <t>M02-2 SUP-016; M02-5 §2.1; M03-5 §2.1, §2.4; M03-6 §11, §13. Upgrade is self-service.</t>
        </is>
      </c>
    </row>
    <row r="14">
      <c r="A14" s="6" t="inlineStr">
        <is>
          <t>Create account</t>
        </is>
      </c>
      <c r="B14" s="6" t="inlineStr">
        <is>
          <t>Your full name (as on your ID)</t>
        </is>
      </c>
      <c r="C14" s="6" t="inlineStr">
        <is>
          <t>Add</t>
        </is>
      </c>
      <c r="D14" s="6" t="inlineStr">
        <is>
          <t>identity.accounts.display_name (greetings, account screens); copied once to profile.profiles.person_legal_name (only legal-name copy)</t>
        </is>
      </c>
      <c r="E14" s="6" t="inlineStr">
        <is>
          <t>Private</t>
        </is>
      </c>
      <c r="F14" s="6" t="inlineStr">
        <is>
          <t>M02-2 SUP-001; M03-2 PRF-015; M02-5 §2.1; M02-6 §4. ≤100 chars, any script.</t>
        </is>
      </c>
    </row>
    <row r="15">
      <c r="A15" s="6" t="inlineStr">
        <is>
          <t>Create account</t>
        </is>
      </c>
      <c r="B15" s="6" t="inlineStr">
        <is>
          <t>Mobile number (with country code)</t>
        </is>
      </c>
      <c r="C15" s="6" t="inlineStr">
        <is>
          <t>Change (split from mixed 'Email or Mobile'; add country-code picker)</t>
        </is>
      </c>
      <c r="D15" s="6" t="inlineStr">
        <is>
          <t>identity.accounts.phone (E.164), phone_confirmed_at, phone_country, phone_line_type</t>
        </is>
      </c>
      <c r="E15" s="6" t="inlineStr">
        <is>
          <t>Private</t>
        </is>
      </c>
      <c r="F15" s="6" t="inlineStr">
        <is>
          <t>M02-2 SUP-002, SUP-005; M02-5 §2.1; M02-6 §4; country-code picker M01-6 §7.</t>
        </is>
      </c>
    </row>
    <row r="16">
      <c r="A16" s="6" t="inlineStr">
        <is>
          <t>Create account</t>
        </is>
      </c>
      <c r="B16" s="6" t="inlineStr">
        <is>
          <t>Email (optional for farmers)</t>
        </is>
      </c>
      <c r="C16" s="6" t="inlineStr">
        <is>
          <t>Change (own field)</t>
        </is>
      </c>
      <c r="D16" s="6" t="inlineStr">
        <is>
          <t>identity.accounts.email, email_confirmed_at, email_optional, email_is_private_relay</t>
        </is>
      </c>
      <c r="E16" s="6" t="inlineStr">
        <is>
          <t>Private</t>
        </is>
      </c>
      <c r="F16" s="6" t="inlineStr">
        <is>
          <t>M02-2 SUP-002, SUP-005; M02-5 §2.1, §4.6; M02-6 §4.</t>
        </is>
      </c>
    </row>
    <row r="17">
      <c r="A17" s="6" t="inlineStr">
        <is>
          <t>Create account</t>
        </is>
      </c>
      <c r="B17" s="6" t="inlineStr">
        <is>
          <t>Account country</t>
        </is>
      </c>
      <c r="C17" s="6" t="inlineStr">
        <is>
          <t>Add</t>
        </is>
      </c>
      <c r="D17" s="6" t="inlineStr">
        <is>
          <t>identity.accounts.declared_country (+ phone_country, signup_ip_country, has_country_difference)</t>
        </is>
      </c>
      <c r="E17" s="6" t="inlineStr">
        <is>
          <t>Private</t>
        </is>
      </c>
      <c r="F17" s="6" t="inlineStr">
        <is>
          <t>M02-2 SAN-001, SAN-002, CHG-005; M02-5 §2.1, §4.4; M02-6 §4.</t>
        </is>
      </c>
    </row>
    <row r="18">
      <c r="A18" s="6" t="inlineStr">
        <is>
          <t>Create account</t>
        </is>
      </c>
      <c r="B18" s="6" t="inlineStr">
        <is>
          <t>Password (rules, strength hint, show / hide)</t>
        </is>
      </c>
      <c r="C18" s="6" t="inlineStr">
        <is>
          <t>Change (fix placeholder 'you@company.com')</t>
        </is>
      </c>
      <c r="D18" s="6" t="inlineStr">
        <is>
          <t>NOT STORED (by design) in our schema — Keycloak; identity.accounts.password_set</t>
        </is>
      </c>
      <c r="E18" s="6" t="inlineStr">
        <is>
          <t>n/a</t>
        </is>
      </c>
      <c r="F18" s="6" t="inlineStr">
        <is>
          <t>M02-2 SIN-002; M02-6 §4 (Weak · OK · Strong, leaked-password check).</t>
        </is>
      </c>
    </row>
    <row r="19">
      <c r="A19" s="6" t="inlineStr">
        <is>
          <t>Create account</t>
        </is>
      </c>
      <c r="B19" s="6" t="inlineStr">
        <is>
          <t>Confirm password</t>
        </is>
      </c>
      <c r="C19" s="6" t="inlineStr">
        <is>
          <t>Remove</t>
        </is>
      </c>
      <c r="D19" s="6" t="inlineStr">
        <is>
          <t>NOT STORED (by design)</t>
        </is>
      </c>
      <c r="E19" s="6" t="inlineStr">
        <is>
          <t>n/a</t>
        </is>
      </c>
      <c r="F19" s="6" t="inlineStr">
        <is>
          <t>Decision 16; M02-6 §4 (show / hide instead).</t>
        </is>
      </c>
    </row>
    <row r="20">
      <c r="A20" s="6" t="inlineStr">
        <is>
          <t>Create account</t>
        </is>
      </c>
      <c r="B20" s="6" t="inlineStr">
        <is>
          <t>I am 18 or over</t>
        </is>
      </c>
      <c r="C20" s="6" t="inlineStr">
        <is>
          <t>Keep</t>
        </is>
      </c>
      <c r="D20" s="6" t="inlineStr">
        <is>
          <t>identity.legal_acceptances (document_type = age_declaration, document_version, accepted_at, ip, channel)</t>
        </is>
      </c>
      <c r="E20" s="6" t="inlineStr">
        <is>
          <t>Private</t>
        </is>
      </c>
      <c r="F20" s="6" t="inlineStr">
        <is>
          <t>M02-2 SUP-027, ACC-008; M02-5 §3.3; M02-6 §4. No date of birth anywhere.</t>
        </is>
      </c>
    </row>
    <row r="21">
      <c r="A21" s="6" t="inlineStr">
        <is>
          <t>Create account</t>
        </is>
      </c>
      <c r="B21" s="6" t="inlineStr">
        <is>
          <t>I agree to the Terms of Use and have read the Privacy Notice</t>
        </is>
      </c>
      <c r="C21" s="6" t="inlineStr">
        <is>
          <t>Change (on the form; never pre-ticked)</t>
        </is>
      </c>
      <c r="D21" s="6" t="inlineStr">
        <is>
          <t>identity.legal_acceptances (document_type = terms / privacy); identity.accounts.accepted_terms_version / accepted_privacy_version</t>
        </is>
      </c>
      <c r="E21" s="6" t="inlineStr">
        <is>
          <t>Private</t>
        </is>
      </c>
      <c r="F21" s="6" t="inlineStr">
        <is>
          <t>M02-2 SUP-004, SUP-031; M02-5 §2.1, §3.3; M02-6 §4: separate unticked lines on the agreements step.</t>
        </is>
      </c>
    </row>
    <row r="22">
      <c r="A22" s="6" t="inlineStr">
        <is>
          <t>Create account</t>
        </is>
      </c>
      <c r="B22" s="6" t="inlineStr">
        <is>
          <t>How did you hear about OudhTrade? (optional)</t>
        </is>
      </c>
      <c r="C22" s="6" t="inlineStr">
        <is>
          <t>Add</t>
        </is>
      </c>
      <c r="D22" s="6" t="inlineStr">
        <is>
          <t>identity.accounts.how_heard</t>
        </is>
      </c>
      <c r="E22" s="6" t="inlineStr">
        <is>
          <t>Private</t>
        </is>
      </c>
      <c r="F22" s="6" t="inlineStr">
        <is>
          <t>M02-2 SUP-029; M02-5 §2.1; M02-6 §4.</t>
        </is>
      </c>
    </row>
    <row r="23">
      <c r="A23" s="6" t="inlineStr">
        <is>
          <t>Create account</t>
        </is>
      </c>
      <c r="B23" s="6" t="inlineStr">
        <is>
          <t>Invitation code</t>
        </is>
      </c>
      <c r="C23" s="6" t="inlineStr">
        <is>
          <t>Add (only via invite link, never typed)</t>
        </is>
      </c>
      <c r="D23" s="6" t="inlineStr">
        <is>
          <t>identity.accounts.invitation_id (code never stored; identity.invitations.code_hash)</t>
        </is>
      </c>
      <c r="E23" s="6" t="inlineStr">
        <is>
          <t>Private</t>
        </is>
      </c>
      <c r="F23" s="6" t="inlineStr">
        <is>
          <t>M02-2 SUP-020; M02-5 §3.1; M02-6 §4 (no field), §3.1.</t>
        </is>
      </c>
    </row>
    <row r="24">
      <c r="A24" s="6" t="inlineStr">
        <is>
          <t>Create account</t>
        </is>
      </c>
      <c r="B24" s="6" t="inlineStr">
        <is>
          <t>Continue with Google / Apple (first time)</t>
        </is>
      </c>
      <c r="C24" s="6" t="inlineStr">
        <is>
          <t>Change (Apple added)</t>
        </is>
      </c>
      <c r="D24" s="6" t="inlineStr">
        <is>
          <t>identity.external_identities; then 'Finish creating your account' fills identity.accounts (declared_role, declared_country, phone)</t>
        </is>
      </c>
      <c r="E24" s="6" t="inlineStr">
        <is>
          <t>Private</t>
        </is>
      </c>
      <c r="F24" s="6" t="inlineStr">
        <is>
          <t>M02-5 §3.5; M02-6 §4.1.</t>
        </is>
      </c>
    </row>
    <row r="25">
      <c r="A25" s="6" t="inlineStr">
        <is>
          <t>Create account</t>
        </is>
      </c>
      <c r="B25" s="6" t="inlineStr">
        <is>
          <t>Bot check (invisible)</t>
        </is>
      </c>
      <c r="C25" s="6" t="inlineStr">
        <is>
          <t>Add</t>
        </is>
      </c>
      <c r="D25" s="6" t="inlineStr">
        <is>
          <t>identity.accounts.bot_check_mode</t>
        </is>
      </c>
      <c r="E25" s="6" t="inlineStr">
        <is>
          <t>n/a</t>
        </is>
      </c>
      <c r="F25" s="6" t="inlineStr">
        <is>
          <t>M02-2 RSK-011; M02-5 §2.1; M02-6 §4.2.</t>
        </is>
      </c>
    </row>
    <row r="26">
      <c r="A26" s="6" t="inlineStr">
        <is>
          <t>Create account</t>
        </is>
      </c>
      <c r="B26" s="6" t="inlineStr">
        <is>
          <t>Browser language and time zone (captured, no field)</t>
        </is>
      </c>
      <c r="C26" s="6" t="inlineStr">
        <is>
          <t>Add</t>
        </is>
      </c>
      <c r="D26" s="6" t="inlineStr">
        <is>
          <t>platform.user_preferences.language, time_zone, time_zone_source; identity.accounts.signup_locale</t>
        </is>
      </c>
      <c r="E26" s="6" t="inlineStr">
        <is>
          <t>Private</t>
        </is>
      </c>
      <c r="F26" s="6" t="inlineStr">
        <is>
          <t>M02-2 SUP-028; M01-5 §4.2; M02-5 §2.1; M02-6 §17.</t>
        </is>
      </c>
    </row>
    <row r="27">
      <c r="A27" s="6" t="inlineStr">
        <is>
          <t>Agreements (consents)</t>
        </is>
      </c>
      <c r="B27" s="6" t="inlineStr">
        <is>
          <t>Terms of Use (required)</t>
        </is>
      </c>
      <c r="C27" s="6" t="inlineStr">
        <is>
          <t>Change (never pre-ticked; merged into the sign-up checkbox)</t>
        </is>
      </c>
      <c r="D27" s="6" t="inlineStr">
        <is>
          <t>identity.legal_acceptances (document_type = terms)</t>
        </is>
      </c>
      <c r="E27" s="6" t="inlineStr">
        <is>
          <t>Private</t>
        </is>
      </c>
      <c r="F27" s="6" t="inlineStr">
        <is>
          <t>M02-2 SUP-031; M02-5 §3.3; M02-6 §4 line (1). Never pre-ticked.</t>
        </is>
      </c>
    </row>
    <row r="28">
      <c r="A28" s="6" t="inlineStr">
        <is>
          <t>Agreements (consents)</t>
        </is>
      </c>
      <c r="B28" s="6" t="inlineStr">
        <is>
          <t>Privacy Notice (required)</t>
        </is>
      </c>
      <c r="C28" s="6" t="inlineStr">
        <is>
          <t>Change (never pre-ticked)</t>
        </is>
      </c>
      <c r="D28" s="6" t="inlineStr">
        <is>
          <t>identity.legal_acceptances (document_type = privacy)</t>
        </is>
      </c>
      <c r="E28" s="6" t="inlineStr">
        <is>
          <t>Private</t>
        </is>
      </c>
      <c r="F28" s="6" t="inlineStr">
        <is>
          <t>M02-2 SUP-031; M02-5 §3.3; M02-6 §4 line (2).</t>
        </is>
      </c>
    </row>
    <row r="29">
      <c r="A29" s="6" t="inlineStr">
        <is>
          <t>Agreements (consents)</t>
        </is>
      </c>
      <c r="B29" s="6" t="inlineStr">
        <is>
          <t>DPDP consent to processing ('withdraw any time')</t>
        </is>
      </c>
      <c r="C29" s="6" t="inlineStr">
        <is>
          <t>Change</t>
        </is>
      </c>
      <c r="D29" s="6" t="inlineStr">
        <is>
          <t>identity.legal_acceptances (document_type = data_processing_consent, document_version, accepted_at, ip, channel)</t>
        </is>
      </c>
      <c r="E29" s="6" t="inlineStr">
        <is>
          <t>Private</t>
        </is>
      </c>
      <c r="F29" s="6" t="inlineStr">
        <is>
          <t>M02-2 SUP-031; M02-5 §3.3; M02-6 §4 line (3), §12.</t>
        </is>
      </c>
    </row>
    <row r="30">
      <c r="A30" s="6" t="inlineStr">
        <is>
          <t>Agreements (consents)</t>
        </is>
      </c>
      <c r="B30" s="6" t="inlineStr">
        <is>
          <t>Grievance Officer notice</t>
        </is>
      </c>
      <c r="C30" s="6" t="inlineStr">
        <is>
          <t>Keep (required line, unticked)</t>
        </is>
      </c>
      <c r="D30" s="6" t="inlineStr">
        <is>
          <t>identity.legal_acceptances (document_type = grievance_notice)</t>
        </is>
      </c>
      <c r="E30" s="6" t="inlineStr">
        <is>
          <t>Private</t>
        </is>
      </c>
      <c r="F30" s="6" t="inlineStr">
        <is>
          <t>M02-2 SUP-031; M02-5 §3.3; M02-6 §4 line (4); Officer block also in §12.</t>
        </is>
      </c>
    </row>
    <row r="31">
      <c r="A31" s="6" t="inlineStr">
        <is>
          <t>Agreements (consents)</t>
        </is>
      </c>
      <c r="B31" s="6" t="inlineStr">
        <is>
          <t>Deals happen off-platform (acknowledgement)</t>
        </is>
      </c>
      <c r="C31" s="6" t="inlineStr">
        <is>
          <t>Change</t>
        </is>
      </c>
      <c r="D31" s="6" t="inlineStr">
        <is>
          <t>identity.legal_acceptances (document_type = off_platform_notice)</t>
        </is>
      </c>
      <c r="E31" s="6" t="inlineStr">
        <is>
          <t>Private</t>
        </is>
      </c>
      <c r="F31" s="6" t="inlineStr">
        <is>
          <t>M02-2 SUP-031; M02-5 §3.3; M02-6 §4 line (5).</t>
        </is>
      </c>
    </row>
    <row r="32">
      <c r="A32" s="6" t="inlineStr">
        <is>
          <t>Agreements (consents)</t>
        </is>
      </c>
      <c r="B32" s="6" t="inlineStr">
        <is>
          <t>Market updates (optional, off by default)</t>
        </is>
      </c>
      <c r="C32" s="6" t="inlineStr">
        <is>
          <t>Keep</t>
        </is>
      </c>
      <c r="D32" s="6" t="inlineStr">
        <is>
          <t>identity.consents (purpose = marketing_email, choice)</t>
        </is>
      </c>
      <c r="E32" s="6" t="inlineStr">
        <is>
          <t>Private</t>
        </is>
      </c>
      <c r="F32" s="6" t="inlineStr">
        <is>
          <t>M02-2 PRV-001; M02-5 §3.4; M02-6 §4, §12. SMS / WhatsApp are separate switches (marketing_sms, marketing_whatsapp).</t>
        </is>
      </c>
    </row>
    <row r="33">
      <c r="A33" s="6" t="inlineStr">
        <is>
          <t>Agreements (consents)</t>
        </is>
      </c>
      <c r="B33" s="6" t="inlineStr">
        <is>
          <t>Personalise promotions (optional, off by default)</t>
        </is>
      </c>
      <c r="C33" s="6" t="inlineStr">
        <is>
          <t>Keep</t>
        </is>
      </c>
      <c r="D33" s="6" t="inlineStr">
        <is>
          <t>identity.consents (purpose = personalised_promotions, choice)</t>
        </is>
      </c>
      <c r="E33" s="6" t="inlineStr">
        <is>
          <t>Private</t>
        </is>
      </c>
      <c r="F33" s="6" t="inlineStr">
        <is>
          <t>M02-2 PRV-001; M02-5 §3.4; M02-6 §4, §12. Used from R2.</t>
        </is>
      </c>
    </row>
    <row r="34">
      <c r="A34" s="6" t="inlineStr">
        <is>
          <t>Code screens</t>
        </is>
      </c>
      <c r="B34" s="6" t="inlineStr">
        <is>
          <t>6-digit code</t>
        </is>
      </c>
      <c r="C34" s="6" t="inlineStr">
        <is>
          <t>Change ('code', never 'OTP'; one field, paste / auto-fill)</t>
        </is>
      </c>
      <c r="D34" s="6" t="inlineStr">
        <is>
          <t>NOT STORED (by design) — Redis keyed hash, purpose, wrong tries, expiry</t>
        </is>
      </c>
      <c r="E34" s="6" t="inlineStr">
        <is>
          <t>n/a</t>
        </is>
      </c>
      <c r="F34" s="6" t="inlineStr">
        <is>
          <t>M02-2 OTP-001 (10 minutes), OTP-011; M02-5 §11; M02-6 §5.</t>
        </is>
      </c>
    </row>
    <row r="35">
      <c r="A35" s="6" t="inlineStr">
        <is>
          <t>Code screens</t>
        </is>
      </c>
      <c r="B35" s="6" t="inlineStr">
        <is>
          <t>Sent to {masked contact} · Wrong number? Change it</t>
        </is>
      </c>
      <c r="C35" s="6" t="inlineStr">
        <is>
          <t>Keep (mask with +91; fix 'gmail.com.com')</t>
        </is>
      </c>
      <c r="D35" s="6" t="inlineStr">
        <is>
          <t>identity.accounts.phone / identity.accounts.email (read)</t>
        </is>
      </c>
      <c r="E35" s="6" t="inlineStr">
        <is>
          <t>Private</t>
        </is>
      </c>
      <c r="F35" s="6" t="inlineStr">
        <is>
          <t>M02-6 §5; values kept when going back.</t>
        </is>
      </c>
    </row>
    <row r="36">
      <c r="A36" s="6" t="inlineStr">
        <is>
          <t>Code screens</t>
        </is>
      </c>
      <c r="B36" s="6" t="inlineStr">
        <is>
          <t>Send a new code (with m:ss timer)</t>
        </is>
      </c>
      <c r="C36" s="6" t="inlineStr">
        <is>
          <t>Change (add countdown; limit message gives a time)</t>
        </is>
      </c>
      <c r="D36" s="6" t="inlineStr">
        <is>
          <t>NOT STORED (by design) — Redis send counters</t>
        </is>
      </c>
      <c r="E36" s="6" t="inlineStr">
        <is>
          <t>n/a</t>
        </is>
      </c>
      <c r="F36" s="6" t="inlineStr">
        <is>
          <t>M02-2 OTP-003; M02-6 §5.</t>
        </is>
      </c>
    </row>
    <row r="37">
      <c r="A37" s="6" t="inlineStr">
        <is>
          <t>Code screens</t>
        </is>
      </c>
      <c r="B37" s="6" t="inlineStr">
        <is>
          <t>Didn't get it? Call me (India) · WhatsApp · SMS · email</t>
        </is>
      </c>
      <c r="C37" s="6" t="inlineStr">
        <is>
          <t>Add</t>
        </is>
      </c>
      <c r="D37" s="6" t="inlineStr">
        <is>
          <t>NOT STORED (by design) as a field — channel logged in identity.security_events.method; language from identity.accounts.code_language</t>
        </is>
      </c>
      <c r="E37" s="6" t="inlineStr">
        <is>
          <t>n/a</t>
        </is>
      </c>
      <c r="F37" s="6" t="inlineStr">
        <is>
          <t>M02-2 OTP-012, OTP-013; M02-5 §2.1, §4.2; M02-6 §5.</t>
        </is>
      </c>
    </row>
    <row r="38">
      <c r="A38" s="6" t="inlineStr">
        <is>
          <t>Code screens</t>
        </is>
      </c>
      <c r="B38" s="6" t="inlineStr">
        <is>
          <t>Remember this device for {days} days (sign-in only)</t>
        </is>
      </c>
      <c r="C38" s="6" t="inlineStr">
        <is>
          <t>Add</t>
        </is>
      </c>
      <c r="D38" s="6" t="inlineStr">
        <is>
          <t>identity.trusted_devices (device_token_hash, device_label, trusted_until)</t>
        </is>
      </c>
      <c r="E38" s="6" t="inlineStr">
        <is>
          <t>Private</t>
        </is>
      </c>
      <c r="F38" s="6" t="inlineStr">
        <is>
          <t>M02-2 SES-006; M02-5 §4.1; M02-6 §5.</t>
        </is>
      </c>
    </row>
    <row r="39">
      <c r="A39" s="6" t="inlineStr">
        <is>
          <t>Wizard 1 · Profile info</t>
        </is>
      </c>
      <c r="B39" s="6" t="inlineStr">
        <is>
          <t>Store name (shown to buyers) — Figma 'Seller/Business Name'</t>
        </is>
      </c>
      <c r="C39" s="6" t="inlineStr">
        <is>
          <t>Change (label; 3–60 chars, not 2–100)</t>
        </is>
      </c>
      <c r="D39" s="6" t="inlineStr">
        <is>
          <t>profile.profiles.trading_name (+ store_slug, trading_name_changed_at; history in profile.name_history)</t>
        </is>
      </c>
      <c r="E39" s="6" t="inlineStr">
        <is>
          <t>Public</t>
        </is>
      </c>
      <c r="F39" s="6" t="inlineStr">
        <is>
          <t>M03-2 PRF-011; M03-5 §2.1, §2.5; M03-6 §5.2, §12. 3–60 chars.</t>
        </is>
      </c>
    </row>
    <row r="40">
      <c r="A40" s="6" t="inlineStr">
        <is>
          <t>Wizard 1 · Profile info</t>
        </is>
      </c>
      <c r="B40" s="6" t="inlineStr">
        <is>
          <t>Logo</t>
        </is>
      </c>
      <c r="C40" s="6" t="inlineStr">
        <is>
          <t>Change (recommended, not required)</t>
        </is>
      </c>
      <c r="D40" s="6" t="inlineStr">
        <is>
          <t>profile.profiles.logo_file_id → platform.files</t>
        </is>
      </c>
      <c r="E40" s="6" t="inlineStr">
        <is>
          <t>Public</t>
        </is>
      </c>
      <c r="F40" s="6" t="inlineStr">
        <is>
          <t>M03-2 PRF-005; M03-5 §2.1; M03-6 §12.</t>
        </is>
      </c>
    </row>
    <row r="41">
      <c r="A41" s="6" t="inlineStr">
        <is>
          <t>Wizard 1 · Profile info</t>
        </is>
      </c>
      <c r="B41" s="6" t="inlineStr">
        <is>
          <t>About your business — Figma 'About/Description'</t>
        </is>
      </c>
      <c r="C41" s="6" t="inlineStr">
        <is>
          <t>Change (label + help)</t>
        </is>
      </c>
      <c r="D41" s="6" t="inlineStr">
        <is>
          <t>profile.profiles.description, original_language; translations in profile.profile_translations</t>
        </is>
      </c>
      <c r="E41" s="6" t="inlineStr">
        <is>
          <t>Public</t>
        </is>
      </c>
      <c r="F41" s="6" t="inlineStr">
        <is>
          <t>M03-2 PRF-005, PRF-014; M03-5 §2.1, §2.6; M03-6 §12. ≤1,000 chars; contact details refused.</t>
        </is>
      </c>
    </row>
    <row r="42">
      <c r="A42" s="6" t="inlineStr">
        <is>
          <t>Wizard 1 · Profile info</t>
        </is>
      </c>
      <c r="B42" s="6" t="inlineStr">
        <is>
          <t>Country / State / City or District / Address line 1 / Pincode</t>
        </is>
      </c>
      <c r="C42" s="6" t="inlineStr">
        <is>
          <t>Change (move to registered address + Locations; not on the public step)</t>
        </is>
      </c>
      <c r="D42" s="6" t="inlineStr">
        <is>
          <t>profile.profile_addresses (address_type = registered): country, region_code, city, district_code, address_lines, postal_code, public_display_level</t>
        </is>
      </c>
      <c r="E42" s="6" t="inlineStr">
        <is>
          <t>Public: city/district, state, country only; street + PIN private</t>
        </is>
      </c>
      <c r="F42" s="6" t="inlineStr">
        <is>
          <t>M03-2 LOC-004; M03-5 §3.5; M03-6 §5.1, §6.</t>
        </is>
      </c>
    </row>
    <row r="43">
      <c r="A43" s="6" t="inlineStr">
        <is>
          <t>Wizard 1 · Profile info</t>
        </is>
      </c>
      <c r="B43" s="6" t="inlineStr">
        <is>
          <t>Site usual contact hours</t>
        </is>
      </c>
      <c r="C43" s="6" t="inlineStr">
        <is>
          <t>Keep (decide)</t>
        </is>
      </c>
      <c r="D43" s="6" t="inlineStr">
        <is>
          <t>profile.profile_addresses.contact_hours (per location)</t>
        </is>
      </c>
      <c r="E43" s="6" t="inlineStr">
        <is>
          <t>Public ('Usually available {days} {hours}')</t>
        </is>
      </c>
      <c r="F43" s="6" t="inlineStr">
        <is>
          <t>M03-2 LOC-008; M03-5 §3.5; M03-6 §6, §15. Set per location, not on this step.</t>
        </is>
      </c>
    </row>
    <row r="44">
      <c r="A44" s="6" t="inlineStr">
        <is>
          <t>Wizard 1 · Profile info</t>
        </is>
      </c>
      <c r="B44" s="6" t="inlineStr">
        <is>
          <t>Year started (optional)</t>
        </is>
      </c>
      <c r="C44" s="6" t="inlineStr">
        <is>
          <t>Add</t>
        </is>
      </c>
      <c r="D44" s="6" t="inlineStr">
        <is>
          <t>profile.profiles.year_established</t>
        </is>
      </c>
      <c r="E44" s="6" t="inlineStr">
        <is>
          <t>Public</t>
        </is>
      </c>
      <c r="F44" s="6" t="inlineStr">
        <is>
          <t>M03-2 BUS-013; M03-5 §2.1; M03-6 §5.2, §15.</t>
        </is>
      </c>
    </row>
    <row r="45">
      <c r="A45" s="6" t="inlineStr">
        <is>
          <t>Wizard 1 · Profile info</t>
        </is>
      </c>
      <c r="B45" s="6" t="inlineStr">
        <is>
          <t>Number of people (optional)</t>
        </is>
      </c>
      <c r="C45" s="6" t="inlineStr">
        <is>
          <t>Add</t>
        </is>
      </c>
      <c r="D45" s="6" t="inlineStr">
        <is>
          <t>profile.profiles.business_size</t>
        </is>
      </c>
      <c r="E45" s="6" t="inlineStr">
        <is>
          <t>Public (size band)</t>
        </is>
      </c>
      <c r="F45" s="6" t="inlineStr">
        <is>
          <t>M03-2 BUS-013; M03-5 §2.1; M03-6 §5.2, §15. Bands 1_5, 6_20, 21_100, over_100.</t>
        </is>
      </c>
    </row>
    <row r="46">
      <c r="A46" s="6" t="inlineStr">
        <is>
          <t>Wizard 1 · Profile info</t>
        </is>
      </c>
      <c r="B46" s="6" t="inlineStr">
        <is>
          <t>Languages you speak</t>
        </is>
      </c>
      <c r="C46" s="6" t="inlineStr">
        <is>
          <t>Add</t>
        </is>
      </c>
      <c r="D46" s="6" t="inlineStr">
        <is>
          <t>profile.profiles.languages_spoken</t>
        </is>
      </c>
      <c r="E46" s="6" t="inlineStr">
        <is>
          <t>Public</t>
        </is>
      </c>
      <c r="F46" s="6" t="inlineStr">
        <is>
          <t>M03-2 PRF-005; M03-5 §2.1; M03-6 §12, §15.</t>
        </is>
      </c>
    </row>
    <row r="47">
      <c r="A47" s="6" t="inlineStr">
        <is>
          <t>Wizard 1 · Profile info</t>
        </is>
      </c>
      <c r="B47" s="6" t="inlineStr">
        <is>
          <t>Cover photo · Photos of your business</t>
        </is>
      </c>
      <c r="C47" s="6" t="inlineStr">
        <is>
          <t>Add</t>
        </is>
      </c>
      <c r="D47" s="6" t="inlineStr">
        <is>
          <t>profile.profiles.cover_file_id / photo_file_ids → platform.files</t>
        </is>
      </c>
      <c r="E47" s="6" t="inlineStr">
        <is>
          <t>Public</t>
        </is>
      </c>
      <c r="F47" s="6" t="inlineStr">
        <is>
          <t>M03-2 PRF-005; M03-5 §2.1; M03-6 §12.</t>
        </is>
      </c>
    </row>
    <row r="48">
      <c r="A48" s="6" t="inlineStr">
        <is>
          <t>Wizard 2 · Business details (S04)</t>
        </is>
      </c>
      <c r="B48" s="6" t="inlineStr">
        <is>
          <t>Country where your business is registered</t>
        </is>
      </c>
      <c r="C48" s="6" t="inlineStr">
        <is>
          <t>Change (first field, dropdown; drives ID fields)</t>
        </is>
      </c>
      <c r="D48" s="6" t="inlineStr">
        <is>
          <t>profile.profiles.registration_country; profile.business_registrations.country; → profiles.billing_country at approval</t>
        </is>
      </c>
      <c r="E48" s="6" t="inlineStr">
        <is>
          <t>Public ('Registered in {country}')</t>
        </is>
      </c>
      <c r="F48" s="6" t="inlineStr">
        <is>
          <t>M03-2 BUS-001, TRS-009; M03-5 §2.1, §3.2; M03-6 §5.1, §15. Locked after approval.</t>
        </is>
      </c>
    </row>
    <row r="49">
      <c r="A49" s="6" t="inlineStr">
        <is>
          <t>Wizard 2 · Business details (S04)</t>
        </is>
      </c>
      <c r="B49" s="6" t="inlineStr">
        <is>
          <t>GSTIN</t>
        </is>
      </c>
      <c r="C49" s="6" t="inlineStr">
        <is>
          <t>Keep (in 'at least one' group; badge wording → 'GST registered')</t>
        </is>
      </c>
      <c r="D49" s="6" t="inlineStr">
        <is>
          <t>profile.business_registrations (registration_type = gstin, number_encrypted, number_hash, number_masked, region_code, is_primary, registry_status)</t>
        </is>
      </c>
      <c r="E49" s="6" t="inlineStr">
        <is>
          <t>Public masked + 'active' when verified; full number private</t>
        </is>
      </c>
      <c r="F49" s="6" t="inlineStr">
        <is>
          <t>M03-2 BUS-004–007, TRS-012; M03-5 §3.1, §3.2; M03-6 §5.1, §15.</t>
        </is>
      </c>
    </row>
    <row r="50">
      <c r="A50" s="6" t="inlineStr">
        <is>
          <t>Wizard 2 · Business details (S04)</t>
        </is>
      </c>
      <c r="B50" s="6" t="inlineStr">
        <is>
          <t>PAN</t>
        </is>
      </c>
      <c r="C50" s="6" t="inlineStr">
        <is>
          <t>Keep (optional)</t>
        </is>
      </c>
      <c r="D50" s="6" t="inlineStr">
        <is>
          <t>profile.business_registrations (registration_type = pan)</t>
        </is>
      </c>
      <c r="E50" s="6" t="inlineStr">
        <is>
          <t>Private (never public)</t>
        </is>
      </c>
      <c r="F50" s="6" t="inlineStr">
        <is>
          <t>M03-5 §3.2 (every verified registration shown masked); M03-6 §5.1.</t>
        </is>
      </c>
    </row>
    <row r="51">
      <c r="A51" s="6" t="inlineStr">
        <is>
          <t>Wizard 2 · Business details (S04)</t>
        </is>
      </c>
      <c r="B51" s="6" t="inlineStr">
        <is>
          <t>Company number (CIN or LLPIN)</t>
        </is>
      </c>
      <c r="C51" s="6" t="inlineStr">
        <is>
          <t>Add</t>
        </is>
      </c>
      <c r="D51" s="6" t="inlineStr">
        <is>
          <t>profile.business_registrations (registration_type = cin / llpin)</t>
        </is>
      </c>
      <c r="E51" s="6" t="inlineStr">
        <is>
          <t>Public masked + 'active' when verified; full number private</t>
        </is>
      </c>
      <c r="F51" s="6" t="inlineStr">
        <is>
          <t>M03-2 BUS-004; M03-5 §3.2; M03-6 §5.1.</t>
        </is>
      </c>
    </row>
    <row r="52">
      <c r="A52" s="6" t="inlineStr">
        <is>
          <t>Wizard 2 · Business details (S04)</t>
        </is>
      </c>
      <c r="B52" s="6" t="inlineStr">
        <is>
          <t>Udyam number (Udyam Assist accepted)</t>
        </is>
      </c>
      <c r="C52" s="6" t="inlineStr">
        <is>
          <t>Add</t>
        </is>
      </c>
      <c r="D52" s="6" t="inlineStr">
        <is>
          <t>profile.business_registrations (registration_type = udyam / udyam_assist)</t>
        </is>
      </c>
      <c r="E52" s="6" t="inlineStr">
        <is>
          <t>Public masked + 'active' when verified; full number private</t>
        </is>
      </c>
      <c r="F52" s="6" t="inlineStr">
        <is>
          <t>M03-2 BUS-004; M03-5 §3.2; M03-6 §5.1, §15.</t>
        </is>
      </c>
    </row>
    <row r="53">
      <c r="A53" s="6" t="inlineStr">
        <is>
          <t>Wizard 2 · Business details (S04)</t>
        </is>
      </c>
      <c r="B53" s="6" t="inlineStr">
        <is>
          <t>Rule: add at least one of GSTIN, company number, Udyam</t>
        </is>
      </c>
      <c r="C53" s="6" t="inlineStr">
        <is>
          <t>Add</t>
        </is>
      </c>
      <c r="D53" s="6" t="inlineStr">
        <is>
          <t>profile.country_id_rules (requirement = one_of_group, group_key = main_registration)</t>
        </is>
      </c>
      <c r="E53" s="6" t="inlineStr">
        <is>
          <t>n/a</t>
        </is>
      </c>
      <c r="F53" s="6" t="inlineStr">
        <is>
          <t>M03-5 §3.1; M03-6 §5.1, §20.2 (ID_GROUP_REQUIRED).</t>
        </is>
      </c>
    </row>
    <row r="54">
      <c r="A54" s="6" t="inlineStr">
        <is>
          <t>Wizard 2 · Business details (S04)</t>
        </is>
      </c>
      <c r="B54" s="6" t="inlineStr">
        <is>
          <t>Trade licence number — Figma 'Trade License No.'</t>
        </is>
      </c>
      <c r="C54" s="6" t="inlineStr">
        <is>
          <t>Change (only where the country rule has it, e.g. UAE)</t>
        </is>
      </c>
      <c r="D54" s="6" t="inlineStr">
        <is>
          <t>profile.business_registrations (registration_type = trade_licence)</t>
        </is>
      </c>
      <c r="E54" s="6" t="inlineStr">
        <is>
          <t>Public masked + 'active' when verified; full number private</t>
        </is>
      </c>
      <c r="F54" s="6" t="inlineStr">
        <is>
          <t>M03-5 §3.2; M03-6 §5.1.</t>
        </is>
      </c>
    </row>
    <row r="55">
      <c r="A55" s="6" t="inlineStr">
        <is>
          <t>Wizard 2 · Business details (S04)</t>
        </is>
      </c>
      <c r="B55" s="6" t="inlineStr">
        <is>
          <t>Issuing authority (UAE)</t>
        </is>
      </c>
      <c r="C55" s="6" t="inlineStr">
        <is>
          <t>Add</t>
        </is>
      </c>
      <c r="D55" s="6" t="inlineStr">
        <is>
          <t>profile.business_registrations.issuing_authority (list from profile.country_id_rules, id_type = trade_licence_authority)</t>
        </is>
      </c>
      <c r="E55" s="6" t="inlineStr">
        <is>
          <t>Public</t>
        </is>
      </c>
      <c r="F55" s="6" t="inlineStr">
        <is>
          <t>M03-2 BUS-021; M03-5 §3.1, §3.2; M03-6 §5.1.</t>
        </is>
      </c>
    </row>
    <row r="56">
      <c r="A56" s="6" t="inlineStr">
        <is>
          <t>Wizard 2 · Business details (S04)</t>
        </is>
      </c>
      <c r="B56" s="6" t="inlineStr">
        <is>
          <t>Licence expiry date (UAE)</t>
        </is>
      </c>
      <c r="C56" s="6" t="inlineStr">
        <is>
          <t>Add</t>
        </is>
      </c>
      <c r="D56" s="6" t="inlineStr">
        <is>
          <t>profile.business_registrations.valid_until</t>
        </is>
      </c>
      <c r="E56" s="6" t="inlineStr">
        <is>
          <t>Private</t>
        </is>
      </c>
      <c r="F56" s="6" t="inlineStr">
        <is>
          <t>M03-2 VER-012; M03-5 §3.2; M03-6 §5.1.</t>
        </is>
      </c>
    </row>
    <row r="57">
      <c r="A57" s="6" t="inlineStr">
        <is>
          <t>Wizard 2 · Business details (S04)</t>
        </is>
      </c>
      <c r="B57" s="6" t="inlineStr">
        <is>
          <t>TRN (UAE) · CR number + VAT number (Saudi Arabia)</t>
        </is>
      </c>
      <c r="C57" s="6" t="inlineStr">
        <is>
          <t>Add</t>
        </is>
      </c>
      <c r="D57" s="6" t="inlineStr">
        <is>
          <t>profile.business_registrations (registration_type = trn / cr / vat)</t>
        </is>
      </c>
      <c r="E57" s="6" t="inlineStr">
        <is>
          <t>Public masked + 'active' when verified; full number private</t>
        </is>
      </c>
      <c r="F57" s="6" t="inlineStr">
        <is>
          <t>M03-5 §3.2; M03-6 §5.1.</t>
        </is>
      </c>
    </row>
    <row r="58">
      <c r="A58" s="6" t="inlineStr">
        <is>
          <t>Wizard 2 · Business details (S04)</t>
        </is>
      </c>
      <c r="B58" s="6" t="inlineStr">
        <is>
          <t>Other countries: Registration number · Registering authority · Tax number</t>
        </is>
      </c>
      <c r="C58" s="6" t="inlineStr">
        <is>
          <t>Add</t>
        </is>
      </c>
      <c r="D58" s="6" t="inlineStr">
        <is>
          <t>profile.business_registrations (registration_type = registration_no / tax_no; registering authority in issuing_authority)</t>
        </is>
      </c>
      <c r="E58" s="6" t="inlineStr">
        <is>
          <t>Public masked + 'active' when verified; full number private</t>
        </is>
      </c>
      <c r="F58" s="6" t="inlineStr">
        <is>
          <t>M03-2 BUS-021; M03-5 §3.1, §3.2; M03-6 §5.1. Manual review.</t>
        </is>
      </c>
    </row>
    <row r="59">
      <c r="A59" s="6" t="inlineStr">
        <is>
          <t>Wizard 2 · Business details (S04)</t>
        </is>
      </c>
      <c r="B59" s="6" t="inlineStr">
        <is>
          <t>Export licence / IEC</t>
        </is>
      </c>
      <c r="C59" s="6" t="inlineStr">
        <is>
          <t>Change (not in S04; link to new 'Export permitted' badge)</t>
        </is>
      </c>
      <c r="D59" s="6" t="inlineStr">
        <is>
          <t>profile.business_registrations (registration_type = iec; number_encrypted, number_hash, number_masked)</t>
        </is>
      </c>
      <c r="E59" s="6" t="inlineStr">
        <is>
          <t>Public masked + 'active' when verified; full number private</t>
        </is>
      </c>
      <c r="F59" s="6" t="inlineStr">
        <is>
          <t>M03-2 BUS-020; M03-5 §3.1, §3.2; M03-6 §5.1, §15. Optional, exporters only.</t>
        </is>
      </c>
    </row>
    <row r="60">
      <c r="A60" s="6" t="inlineStr">
        <is>
          <t>Wizard 2 · Business details (S04)</t>
        </is>
      </c>
      <c r="B60" s="6" t="inlineStr">
        <is>
          <t>Sector licence (conditional)</t>
        </is>
      </c>
      <c r="C60" s="6" t="inlineStr">
        <is>
          <t>Remove (replaced by role slots, e.g. Nursery licence)</t>
        </is>
      </c>
      <c r="D60" s="6" t="inlineStr">
        <is>
          <t>NOT STORED (by design)</t>
        </is>
      </c>
      <c r="E60" s="6" t="inlineStr">
        <is>
          <t>n/a</t>
        </is>
      </c>
      <c r="F60" s="6" t="inlineStr">
        <is>
          <t>Decision 5b; replaced by role slots (M03-5 §4.1, e.g. nursery_licence).</t>
        </is>
      </c>
    </row>
    <row r="61">
      <c r="A61" s="6" t="inlineStr">
        <is>
          <t>Wizard 2 · Business details (S04)</t>
        </is>
      </c>
      <c r="B61" s="6" t="inlineStr">
        <is>
          <t>Check with the registry (consent) · 'We found your business'</t>
        </is>
      </c>
      <c r="C61" s="6" t="inlineStr">
        <is>
          <t>Add</t>
        </is>
      </c>
      <c r="D61" s="6" t="inlineStr">
        <is>
          <t>profile.verification_consents (check_type = registry_lookup) → business_registrations.registry_consent_id; registry_result, registry_status, registered_name / registered_name_en, registered_legal_form, registration_date, registered_address, registry_checked_at</t>
        </is>
      </c>
      <c r="E61" s="6" t="inlineStr">
        <is>
          <t>Private (only type, masked number and status shown)</t>
        </is>
      </c>
      <c r="F61" s="6" t="inlineStr">
        <is>
          <t>M03-2 BUS-004–007, DAT-004; M03-5 §3.2, §4.5; M03-6 §5.1.</t>
        </is>
      </c>
    </row>
    <row r="62">
      <c r="A62" s="6" t="inlineStr">
        <is>
          <t>Wizard 2 · Business details (S04)</t>
        </is>
      </c>
      <c r="B62" s="6" t="inlineStr">
        <is>
          <t>Legal name (as registered) + English spelling</t>
        </is>
      </c>
      <c r="C62" s="6" t="inlineStr">
        <is>
          <t>Keep (shown next to store name)</t>
        </is>
      </c>
      <c r="D62" s="6" t="inlineStr">
        <is>
          <t>profile.profiles.legal_name, legal_name_en, legal_name_locked_at</t>
        </is>
      </c>
      <c r="E62" s="6" t="inlineStr">
        <is>
          <t>Public (next to store name)</t>
        </is>
      </c>
      <c r="F62" s="6" t="inlineStr">
        <is>
          <t>M03-2 BUS-008, PRF-012; M03-5 §2.1; M03-6 §5.2, §15.</t>
        </is>
      </c>
    </row>
    <row r="63">
      <c r="A63" s="6" t="inlineStr">
        <is>
          <t>Wizard 2 · Business details (S04)</t>
        </is>
      </c>
      <c r="B63" s="6" t="inlineStr">
        <is>
          <t>Type of business (legal form)</t>
        </is>
      </c>
      <c r="C63" s="6" t="inlineStr">
        <is>
          <t>Add</t>
        </is>
      </c>
      <c r="D63" s="6" t="inlineStr">
        <is>
          <t>profile.profiles.legal_form</t>
        </is>
      </c>
      <c r="E63" s="6" t="inlineStr">
        <is>
          <t>Private</t>
        </is>
      </c>
      <c r="F63" s="6" t="inlineStr">
        <is>
          <t>M03-2 BUS-012; M03-5 §2.1; M03-6 §5.2.</t>
        </is>
      </c>
    </row>
    <row r="64">
      <c r="A64" s="6" t="inlineStr">
        <is>
          <t>Wizard 2 · Business details (S04)</t>
        </is>
      </c>
      <c r="B64" s="6" t="inlineStr">
        <is>
          <t>Business phone</t>
        </is>
      </c>
      <c r="C64" s="6" t="inlineStr">
        <is>
          <t>Add</t>
        </is>
      </c>
      <c r="D64" s="6" t="inlineStr">
        <is>
          <t>profile.profile_contacts (contact_type = business_phone, value, confirmed_at)</t>
        </is>
      </c>
      <c r="E64" s="6" t="inlineStr">
        <is>
          <t>Private</t>
        </is>
      </c>
      <c r="F64" s="6" t="inlineStr">
        <is>
          <t>M03-2 BUS-013, PRF-002 [TBC: C14]; M03-5 §3.6; M03-6 §5.2.</t>
        </is>
      </c>
    </row>
    <row r="65">
      <c r="A65" s="6" t="inlineStr">
        <is>
          <t>Wizard 2 · Business details (S04)</t>
        </is>
      </c>
      <c r="B65" s="6" t="inlineStr">
        <is>
          <t>Business email</t>
        </is>
      </c>
      <c r="C65" s="6" t="inlineStr">
        <is>
          <t>Add</t>
        </is>
      </c>
      <c r="D65" s="6" t="inlineStr">
        <is>
          <t>profile.profile_contacts (contact_type = business_email, value, confirmed_at)</t>
        </is>
      </c>
      <c r="E65" s="6" t="inlineStr">
        <is>
          <t>Private</t>
        </is>
      </c>
      <c r="F65" s="6" t="inlineStr">
        <is>
          <t>M03-2 BUS-013, PRF-002 [TBC: C14]; M03-5 §3.6; M03-6 §5.2.</t>
        </is>
      </c>
    </row>
    <row r="66">
      <c r="A66" s="6" t="inlineStr">
        <is>
          <t>Wizard 2 · Business details (S04)</t>
        </is>
      </c>
      <c r="B66" s="6" t="inlineStr">
        <is>
          <t>Name-mismatch note (registration name ≠ ID name)</t>
        </is>
      </c>
      <c r="C66" s="6" t="inlineStr">
        <is>
          <t>Add</t>
        </is>
      </c>
      <c r="D66" s="6" t="inlineStr">
        <is>
          <t>profile.business_registrations.name_mismatch_note, name_mismatch_document_id → profile.verification_documents</t>
        </is>
      </c>
      <c r="E66" s="6" t="inlineStr">
        <is>
          <t>Private (reviewers only)</t>
        </is>
      </c>
      <c r="F66" s="6" t="inlineStr">
        <is>
          <t>M03-2 BUS-022; M03-5 §3.2; M03-6 §5.3. Never blocks.</t>
        </is>
      </c>
    </row>
    <row r="67">
      <c r="A67" s="6" t="inlineStr">
        <is>
          <t>Wizard 2b · Authorised person &amp; declaration (S04 step 3)</t>
        </is>
      </c>
      <c r="B67" s="6" t="inlineStr">
        <is>
          <t>I am the authorised person / I act on their behalf</t>
        </is>
      </c>
      <c r="C67" s="6" t="inlineStr">
        <is>
          <t>Add</t>
        </is>
      </c>
      <c r="D67" s="6" t="inlineStr">
        <is>
          <t>profile.authorised_persons.is_account_holder, account_id</t>
        </is>
      </c>
      <c r="E67" s="6" t="inlineStr">
        <is>
          <t>Private</t>
        </is>
      </c>
      <c r="F67" s="6" t="inlineStr">
        <is>
          <t>M03-2 BUS-014; M03-5 §3.3; M03-6 §5.3.</t>
        </is>
      </c>
    </row>
    <row r="68">
      <c r="A68" s="6" t="inlineStr">
        <is>
          <t>Wizard 2b · Authorised person &amp; declaration (S04 step 3)</t>
        </is>
      </c>
      <c r="B68" s="6" t="inlineStr">
        <is>
          <t>Full name (as on their ID) — Figma 'Authorized Representative'</t>
        </is>
      </c>
      <c r="C68" s="6" t="inlineStr">
        <is>
          <t>Keep (label)</t>
        </is>
      </c>
      <c r="D68" s="6" t="inlineStr">
        <is>
          <t>profile.authorised_persons.full_name_as_on_id, name_local</t>
        </is>
      </c>
      <c r="E68" s="6" t="inlineStr">
        <is>
          <t>Private</t>
        </is>
      </c>
      <c r="F68" s="6" t="inlineStr">
        <is>
          <t>M03-2 BUS-014; M03-5 §3.3; M03-6 §5.3.</t>
        </is>
      </c>
    </row>
    <row r="69">
      <c r="A69" s="6" t="inlineStr">
        <is>
          <t>Wizard 2b · Authorised person &amp; declaration (S04 step 3)</t>
        </is>
      </c>
      <c r="B69" s="6" t="inlineStr">
        <is>
          <t>Designation</t>
        </is>
      </c>
      <c r="C69" s="6" t="inlineStr">
        <is>
          <t>Add</t>
        </is>
      </c>
      <c r="D69" s="6" t="inlineStr">
        <is>
          <t>profile.authorised_persons.designation / designation_text</t>
        </is>
      </c>
      <c r="E69" s="6" t="inlineStr">
        <is>
          <t>Private</t>
        </is>
      </c>
      <c r="F69" s="6" t="inlineStr">
        <is>
          <t>M03-2 BUS-014; M03-5 §3.3; M03-6 §5.3.</t>
        </is>
      </c>
    </row>
    <row r="70">
      <c r="A70" s="6" t="inlineStr">
        <is>
          <t>Wizard 2b · Authorised person &amp; declaration (S04 step 3)</t>
        </is>
      </c>
      <c r="B70" s="6" t="inlineStr">
        <is>
          <t>Their relationship to you</t>
        </is>
      </c>
      <c r="C70" s="6" t="inlineStr">
        <is>
          <t>Add</t>
        </is>
      </c>
      <c r="D70" s="6" t="inlineStr">
        <is>
          <t>profile.authorised_persons.relationship</t>
        </is>
      </c>
      <c r="E70" s="6" t="inlineStr">
        <is>
          <t>Private</t>
        </is>
      </c>
      <c r="F70" s="6" t="inlineStr">
        <is>
          <t>M03-2 BUS-014; M03-5 §3.3; M03-6 §5.3.</t>
        </is>
      </c>
    </row>
    <row r="71">
      <c r="A71" s="6" t="inlineStr">
        <is>
          <t>Wizard 2b · Authorised person &amp; declaration (S04 step 3)</t>
        </is>
      </c>
      <c r="B71" s="6" t="inlineStr">
        <is>
          <t>Their mobile number — Figma 'Authorized Rep Mobile + Request OTP'</t>
        </is>
      </c>
      <c r="C71" s="6" t="inlineStr">
        <is>
          <t>Change (only when someone else; secure link, not a code here)</t>
        </is>
      </c>
      <c r="D71" s="6" t="inlineStr">
        <is>
          <t>profile.authorised_persons.contact_phone; link in profile.identity_checks.remote_link_token_hash / remote_link_expires_at / remote_link_status</t>
        </is>
      </c>
      <c r="E71" s="6" t="inlineStr">
        <is>
          <t>Private</t>
        </is>
      </c>
      <c r="F71" s="6" t="inlineStr">
        <is>
          <t>M03-2 IDV-012; M03-5 §3.3, §4.4; M03-6 §5.3, §7.</t>
        </is>
      </c>
    </row>
    <row r="72">
      <c r="A72" s="6" t="inlineStr">
        <is>
          <t>Wizard 2b · Authorised person &amp; declaration (S04 step 3)</t>
        </is>
      </c>
      <c r="B72" s="6" t="inlineStr">
        <is>
          <t>Their email</t>
        </is>
      </c>
      <c r="C72" s="6" t="inlineStr">
        <is>
          <t>Add</t>
        </is>
      </c>
      <c r="D72" s="6" t="inlineStr">
        <is>
          <t>profile.authorised_persons.contact_email</t>
        </is>
      </c>
      <c r="E72" s="6" t="inlineStr">
        <is>
          <t>Private</t>
        </is>
      </c>
      <c r="F72" s="6" t="inlineStr">
        <is>
          <t>M03-2 IDV-012; M03-5 §3.3; M03-6 §5.3.</t>
        </is>
      </c>
    </row>
    <row r="73">
      <c r="A73" s="6" t="inlineStr">
        <is>
          <t>Wizard 2b · Authorised person &amp; declaration (S04 step 3)</t>
        </is>
      </c>
      <c r="B73" s="6" t="inlineStr">
        <is>
          <t>Proof of authority (board resolution / authority letter)</t>
        </is>
      </c>
      <c r="C73" s="6" t="inlineStr">
        <is>
          <t>Add</t>
        </is>
      </c>
      <c r="D73" s="6" t="inlineStr">
        <is>
          <t>profile.authorised_persons.authority_document_id → profile.verification_documents (slot_key = proof_of_authority)</t>
        </is>
      </c>
      <c r="E73" s="6" t="inlineStr">
        <is>
          <t>Private</t>
        </is>
      </c>
      <c r="F73" s="6" t="inlineStr">
        <is>
          <t>M03-2 BUS-010; M03-5 §3.3, §4.3; M03-6 §5.3, §8.1.</t>
        </is>
      </c>
    </row>
    <row r="74">
      <c r="A74" s="6" t="inlineStr">
        <is>
          <t>Wizard 2b · Authorised person &amp; declaration (S04 step 3)</t>
        </is>
      </c>
      <c r="B74" s="6" t="inlineStr">
        <is>
          <t>Compliance declaration</t>
        </is>
      </c>
      <c r="C74" s="6" t="inlineStr">
        <is>
          <t>Add</t>
        </is>
      </c>
      <c r="D74" s="6" t="inlineStr">
        <is>
          <t>profile.compliance_declarations (declaration_type = compliance, clauses, text_version, language, accepted_at, account_id, channel, ip)</t>
        </is>
      </c>
      <c r="E74" s="6" t="inlineStr">
        <is>
          <t>Public only as 'Compliance declaration on file (self-declared)'</t>
        </is>
      </c>
      <c r="F74" s="6" t="inlineStr">
        <is>
          <t>M03-2 BUS-015; M03-5 §3.4; M03-6 §5.3, §15.</t>
        </is>
      </c>
    </row>
    <row r="75">
      <c r="A75" s="6" t="inlineStr">
        <is>
          <t>Wizard 3 · What I buy / What I offer</t>
        </is>
      </c>
      <c r="B75" s="6" t="inlineStr">
        <is>
          <t>What I buy (categories)</t>
        </is>
      </c>
      <c r="C75" s="6" t="inlineStr">
        <is>
          <t>Change (split from single 'Area of Interest')</t>
        </is>
      </c>
      <c r="D75" s="6" t="inlineStr">
        <is>
          <t>profile.profile_interests (direction = buy, top_category_code; taxonomy_node_id later)</t>
        </is>
      </c>
      <c r="E75" s="6" t="inlineStr">
        <is>
          <t>Private</t>
        </is>
      </c>
      <c r="F75" s="6" t="inlineStr">
        <is>
          <t>M03-2 PRF-006, BUY-001; M03-5 §8.1; M03-6 §11, §12.</t>
        </is>
      </c>
    </row>
    <row r="76">
      <c r="A76" s="6" t="inlineStr">
        <is>
          <t>Wizard 3 · What I buy / What I offer</t>
        </is>
      </c>
      <c r="B76" s="6" t="inlineStr">
        <is>
          <t>What I offer (categories)</t>
        </is>
      </c>
      <c r="C76" s="6" t="inlineStr">
        <is>
          <t>Change (role-allowed categories only)</t>
        </is>
      </c>
      <c r="D76" s="6" t="inlineStr">
        <is>
          <t>profile.profile_interests (direction = offer, top_category_code)</t>
        </is>
      </c>
      <c r="E76" s="6" t="inlineStr">
        <is>
          <t>Public (sellers)</t>
        </is>
      </c>
      <c r="F76" s="6" t="inlineStr">
        <is>
          <t>M03-2 PRF-006; M03-5 §8.1; M03-6 §12. Role limit from M04 table (PRD-TAX-005), not stated in M03-6.</t>
        </is>
      </c>
    </row>
    <row r="77">
      <c r="A77" s="6" t="inlineStr">
        <is>
          <t>Wizard 3 · What I buy / What I offer</t>
        </is>
      </c>
      <c r="B77" s="6" t="inlineStr">
        <is>
          <t>Sub-categories (logs, blocks, kyara, dust …) and 'wild' options</t>
        </is>
      </c>
      <c r="C77" s="6" t="inlineStr">
        <is>
          <t>Remove</t>
        </is>
      </c>
      <c r="D77" s="6" t="inlineStr">
        <is>
          <t>NOT STORED (by design) until M04 (profile_interests.taxonomy_node_id); wild options never</t>
        </is>
      </c>
      <c r="E77" s="6" t="inlineStr">
        <is>
          <t>n/a</t>
        </is>
      </c>
      <c r="F77" s="6" t="inlineStr">
        <is>
          <t>M03-2 PRF-006; M03-5 §3.4 (no_wild_sourced), §8.1.</t>
        </is>
      </c>
    </row>
    <row r="78">
      <c r="A78" s="6" t="inlineStr">
        <is>
          <t>Wizard 3 · What I buy / What I offer</t>
        </is>
      </c>
      <c r="B78" s="6" t="inlineStr">
        <is>
          <t>How is it produced? (Cultivated · Inoculated · Processed · Mixed)</t>
        </is>
      </c>
      <c r="C78" s="6" t="inlineStr">
        <is>
          <t>Add</t>
        </is>
      </c>
      <c r="D78" s="6" t="inlineStr">
        <is>
          <t>profile.profile_interests.attributes (production type)</t>
        </is>
      </c>
      <c r="E78" s="6" t="inlineStr">
        <is>
          <t>Public</t>
        </is>
      </c>
      <c r="F78" s="6" t="inlineStr">
        <is>
          <t>M03-2 PRF-006; M03-5 §8.1; M03-6 §12, §15.</t>
        </is>
      </c>
    </row>
    <row r="79">
      <c r="A79" s="6" t="inlineStr">
        <is>
          <t>Wizard 3 · What I buy / What I offer</t>
        </is>
      </c>
      <c r="B79" s="6" t="inlineStr">
        <is>
          <t>How much can you supply? (Small batches · Steady · Bulk)</t>
        </is>
      </c>
      <c r="C79" s="6" t="inlineStr">
        <is>
          <t>Add</t>
        </is>
      </c>
      <c r="D79" s="6" t="inlineStr">
        <is>
          <t>profile.profile_interests.attributes (supply capability)</t>
        </is>
      </c>
      <c r="E79" s="6" t="inlineStr">
        <is>
          <t>Public</t>
        </is>
      </c>
      <c r="F79" s="6" t="inlineStr">
        <is>
          <t>M03-2 PRF-006; M03-5 §8.1; M03-6 §12, §15.</t>
        </is>
      </c>
    </row>
    <row r="80">
      <c r="A80" s="6" t="inlineStr">
        <is>
          <t>Wizard 3 · What I buy / What I offer</t>
        </is>
      </c>
      <c r="B80" s="6" t="inlineStr">
        <is>
          <t>Interested in export?</t>
        </is>
      </c>
      <c r="C80" s="6" t="inlineStr">
        <is>
          <t>Add</t>
        </is>
      </c>
      <c r="D80" s="6" t="inlineStr">
        <is>
          <t>profile.profile_interests.attributes (export interest)</t>
        </is>
      </c>
      <c r="E80" s="6" t="inlineStr">
        <is>
          <t>Public</t>
        </is>
      </c>
      <c r="F80" s="6" t="inlineStr">
        <is>
          <t>M03-2 PRF-006; M03-5 §8.1; M03-6 §12, §15.</t>
        </is>
      </c>
    </row>
    <row r="81">
      <c r="A81" s="6" t="inlineStr">
        <is>
          <t>Wizard 3 · What I buy / What I offer</t>
        </is>
      </c>
      <c r="B81" s="6" t="inlineStr">
        <is>
          <t>Yearly supply (wood, chips, oil) + where it comes from</t>
        </is>
      </c>
      <c r="C81" s="6" t="inlineStr">
        <is>
          <t>Add</t>
        </is>
      </c>
      <c r="D81" s="6" t="inlineStr">
        <is>
          <t>profile.supply_declarations (product_type, yearly_capacity, unit_code, source_types, import_countries)</t>
        </is>
      </c>
      <c r="E81" s="6" t="inlineStr">
        <is>
          <t>Private (team only)</t>
        </is>
      </c>
      <c r="F81" s="6" t="inlineStr">
        <is>
          <t>M03-5 §7.1; M03-6 §3.1, §12.</t>
        </is>
      </c>
    </row>
    <row r="82">
      <c r="A82" s="6" t="inlineStr">
        <is>
          <t>Wizard 4 · Documents (S07)</t>
        </is>
      </c>
      <c r="B82" s="6" t="inlineStr">
        <is>
          <t>Document checklist slots (per role + country)</t>
        </is>
      </c>
      <c r="C82" s="6" t="inlineStr">
        <is>
          <t>Change (replaces free 'Add additional documents')</t>
        </is>
      </c>
      <c r="D82" s="6" t="inlineStr">
        <is>
          <t>profile.document_checklists (reference) → profile.verification_cases.checklist_country / checklist_version / is_fallback_checklist</t>
        </is>
      </c>
      <c r="E82" s="6" t="inlineStr">
        <is>
          <t>n/a</t>
        </is>
      </c>
      <c r="F82" s="6" t="inlineStr">
        <is>
          <t>M03-2 DOC-001–006; M03-5 §4.1, §4.2; M03-6 §8.1.</t>
        </is>
      </c>
    </row>
    <row r="83">
      <c r="A83" s="6" t="inlineStr">
        <is>
          <t>Wizard 4 · Documents (S07)</t>
        </is>
      </c>
      <c r="B83" s="6" t="inlineStr">
        <is>
          <t>Document type</t>
        </is>
      </c>
      <c r="C83" s="6" t="inlineStr">
        <is>
          <t>Keep (choose from the slot's accepted types)</t>
        </is>
      </c>
      <c r="D83" s="6" t="inlineStr">
        <is>
          <t>profile.verification_documents.slot_key / document_type (from document_checklists.document_types)</t>
        </is>
      </c>
      <c r="E83" s="6" t="inlineStr">
        <is>
          <t>Private</t>
        </is>
      </c>
      <c r="F83" s="6" t="inlineStr">
        <is>
          <t>M03-2 DOC-026; M03-5 §4.3; M03-6 §8.1.</t>
        </is>
      </c>
    </row>
    <row r="84">
      <c r="A84" s="6" t="inlineStr">
        <is>
          <t>Wizard 4 · Documents (S07)</t>
        </is>
      </c>
      <c r="B84" s="6" t="inlineStr">
        <is>
          <t>Document number</t>
        </is>
      </c>
      <c r="C84" s="6" t="inlineStr">
        <is>
          <t>Keep (optional, masked)</t>
        </is>
      </c>
      <c r="D84" s="6" t="inlineStr">
        <is>
          <t>profile.verification_documents.number_encrypted / number_hash / number_masked</t>
        </is>
      </c>
      <c r="E84" s="6" t="inlineStr">
        <is>
          <t>Private (Restricted; owner sees it masked)</t>
        </is>
      </c>
      <c r="F84" s="6" t="inlineStr">
        <is>
          <t>M03-2 DOC-026; M03-5 §4.3; M03-6 §8.1.</t>
        </is>
      </c>
    </row>
    <row r="85">
      <c r="A85" s="6" t="inlineStr">
        <is>
          <t>Wizard 4 · Documents (S07)</t>
        </is>
      </c>
      <c r="B85" s="6" t="inlineStr">
        <is>
          <t>Issue date</t>
        </is>
      </c>
      <c r="C85" s="6" t="inlineStr">
        <is>
          <t>Keep</t>
        </is>
      </c>
      <c r="D85" s="6" t="inlineStr">
        <is>
          <t>profile.verification_documents.issue_date</t>
        </is>
      </c>
      <c r="E85" s="6" t="inlineStr">
        <is>
          <t>Private</t>
        </is>
      </c>
      <c r="F85" s="6" t="inlineStr">
        <is>
          <t>M03-2 DOC-012, DOC-026; M03-5 §4.3; M03-6 §8.1.</t>
        </is>
      </c>
    </row>
    <row r="86">
      <c r="A86" s="6" t="inlineStr">
        <is>
          <t>Wizard 4 · Documents (S07)</t>
        </is>
      </c>
      <c r="B86" s="6" t="inlineStr">
        <is>
          <t>Expiry date (as on the document)</t>
        </is>
      </c>
      <c r="C86" s="6" t="inlineStr">
        <is>
          <t>Change (required for expiring types)</t>
        </is>
      </c>
      <c r="D86" s="6" t="inlineStr">
        <is>
          <t>profile.verification_documents.expiry_date</t>
        </is>
      </c>
      <c r="E86" s="6" t="inlineStr">
        <is>
          <t>Private</t>
        </is>
      </c>
      <c r="F86" s="6" t="inlineStr">
        <is>
          <t>M03-2 DOC-004, DOC-012; M03-5 §4.1, §4.3; M03-6 §8.1.</t>
        </is>
      </c>
    </row>
    <row r="87">
      <c r="A87" s="6" t="inlineStr">
        <is>
          <t>Wizard 4 · Documents (S07)</t>
        </is>
      </c>
      <c r="B87" s="6" t="inlineStr">
        <is>
          <t>File upload · Take a photo</t>
        </is>
      </c>
      <c r="C87" s="6" t="inlineStr">
        <is>
          <t>Change (PDF, JPG, PNG, HEIC/HEIF, WEBP; 10 pages / 10 MB per document; camera)</t>
        </is>
      </c>
      <c r="D87" s="6" t="inlineStr">
        <is>
          <t>profile.verification_documents.file_ids, page_count → platform.files (purpose = verification_doc, kind = document)</t>
        </is>
      </c>
      <c r="E87" s="6" t="inlineStr">
        <is>
          <t>Private (Restricted)</t>
        </is>
      </c>
      <c r="F87" s="6" t="inlineStr">
        <is>
          <t>M03-2 DOC-007–010; M03-5 §4.3; M01-5 §2.1; M03-6 §8.1, §20.5. 10 pages per document.</t>
        </is>
      </c>
    </row>
    <row r="88">
      <c r="A88" s="6" t="inlineStr">
        <is>
          <t>Wizard 4 · Documents (S07)</t>
        </is>
      </c>
      <c r="B88" s="6" t="inlineStr">
        <is>
          <t>Issuing country / region</t>
        </is>
      </c>
      <c r="C88" s="6" t="inlineStr">
        <is>
          <t>Add</t>
        </is>
      </c>
      <c r="D88" s="6" t="inlineStr">
        <is>
          <t>profile.verification_documents.issuing_country / issuing_region</t>
        </is>
      </c>
      <c r="E88" s="6" t="inlineStr">
        <is>
          <t>Private</t>
        </is>
      </c>
      <c r="F88" s="6" t="inlineStr">
        <is>
          <t>M03-2 DOC-026; M03-5 §4.3; M03-6 §8.1.</t>
        </is>
      </c>
    </row>
    <row r="89">
      <c r="A89" s="6" t="inlineStr">
        <is>
          <t>Wizard 4 · Documents (S07)</t>
        </is>
      </c>
      <c r="B89" s="6" t="inlineStr">
        <is>
          <t>Optional extra document</t>
        </is>
      </c>
      <c r="C89" s="6" t="inlineStr">
        <is>
          <t>Keep (as 'optional extra')</t>
        </is>
      </c>
      <c r="D89" s="6" t="inlineStr">
        <is>
          <t>profile.verification_documents (slot_key = other, other_title, file_ids); slot in profile.document_checklists (slot_key = other)</t>
        </is>
      </c>
      <c r="E89" s="6" t="inlineStr">
        <is>
          <t>Private</t>
        </is>
      </c>
      <c r="F89" s="6" t="inlineStr">
        <is>
          <t>M03-2 DOC-027, DOC-028; M03-5 §4.1, §4.3; M03-6 §8.1, §16.5.</t>
        </is>
      </c>
    </row>
    <row r="90">
      <c r="A90" s="6" t="inlineStr">
        <is>
          <t>Wizard 4 · Documents (S07)</t>
        </is>
      </c>
      <c r="B90" s="6" t="inlineStr">
        <is>
          <t>National ID / Passport uploaded as documents</t>
        </is>
      </c>
      <c r="C90" s="6" t="inlineStr">
        <is>
          <t>Remove (moved to Identity check S06)</t>
        </is>
      </c>
      <c r="D90" s="6" t="inlineStr">
        <is>
          <t>profile.identity_checks (see S06 rows)</t>
        </is>
      </c>
      <c r="E90" s="6" t="inlineStr">
        <is>
          <t>Private</t>
        </is>
      </c>
      <c r="F90" s="6" t="inlineStr">
        <is>
          <t>Decision 5a; M03-5 §4.4; M03-6 §7.</t>
        </is>
      </c>
    </row>
    <row r="91">
      <c r="A91" s="6" t="inlineStr">
        <is>
          <t>Wizard 4 · Documents (S07)</t>
        </is>
      </c>
      <c r="B91" s="6" t="inlineStr">
        <is>
          <t>Send for review</t>
        </is>
      </c>
      <c r="C91" s="6" t="inlineStr">
        <is>
          <t>Change (dated ETA)</t>
        </is>
      </c>
      <c r="D91" s="6" t="inlineStr">
        <is>
          <t>profile.verification_cases (state, submitted_at, due_at); profile.verification_consents (check_type = supplier_document_share) → verification_cases.supplier_share_consent_id</t>
        </is>
      </c>
      <c r="E91" s="6" t="inlineStr">
        <is>
          <t>n/a</t>
        </is>
      </c>
      <c r="F91" s="6" t="inlineStr">
        <is>
          <t>M03-2 VER-007, VER-008; M03-5 §4.2, §4.5; M03-6 §8.1. Share-consent dialog not worded in M03-6.</t>
        </is>
      </c>
    </row>
    <row r="92">
      <c r="A92" s="6" t="inlineStr">
        <is>
          <t>Wizard 5 · Locations / sites (S05)</t>
        </is>
      </c>
      <c r="B92" s="6" t="inlineStr">
        <is>
          <t>Use my registered address as my first site</t>
        </is>
      </c>
      <c r="C92" s="6" t="inlineStr">
        <is>
          <t>Add</t>
        </is>
      </c>
      <c r="D92" s="6" t="inlineStr">
        <is>
          <t>profile.profile_addresses (source = registry; copied from business_registrations.registered_address)</t>
        </is>
      </c>
      <c r="E92" s="6" t="inlineStr">
        <is>
          <t>Public: city/state only</t>
        </is>
      </c>
      <c r="F92" s="6" t="inlineStr">
        <is>
          <t>M03-2 LOC-002; M03-5 §3.5; M03-6 §6.</t>
        </is>
      </c>
    </row>
    <row r="93">
      <c r="A93" s="6" t="inlineStr">
        <is>
          <t>Wizard 5 · Locations / sites (S05)</t>
        </is>
      </c>
      <c r="B93" s="6" t="inlineStr">
        <is>
          <t>Site type</t>
        </is>
      </c>
      <c r="C93" s="6" t="inlineStr">
        <is>
          <t>Change (Registered office · Office · Plantation · Nursery · Distillery · Factory · Warehouse · Shop · Other)</t>
        </is>
      </c>
      <c r="D93" s="6" t="inlineStr">
        <is>
          <t>profile.profile_addresses.address_type</t>
        </is>
      </c>
      <c r="E93" s="6" t="inlineStr">
        <is>
          <t>Public</t>
        </is>
      </c>
      <c r="F93" s="6" t="inlineStr">
        <is>
          <t>M03-2 LOC-003, LOC-004; M03-5 §3.5; M03-6 §6, §15.</t>
        </is>
      </c>
    </row>
    <row r="94">
      <c r="A94" s="6" t="inlineStr">
        <is>
          <t>Wizard 5 · Locations / sites (S05)</t>
        </is>
      </c>
      <c r="B94" s="6" t="inlineStr">
        <is>
          <t>Site label</t>
        </is>
      </c>
      <c r="C94" s="6" t="inlineStr">
        <is>
          <t>Keep</t>
        </is>
      </c>
      <c r="D94" s="6" t="inlineStr">
        <is>
          <t>profile.profile_addresses.label</t>
        </is>
      </c>
      <c r="E94" s="6" t="inlineStr">
        <is>
          <t>Public</t>
        </is>
      </c>
      <c r="F94" s="6" t="inlineStr">
        <is>
          <t>M03-2 LOC-007; M03-5 §3.5; M03-6 §6 ('Site name'), §15. ≤60 chars.</t>
        </is>
      </c>
    </row>
    <row r="95">
      <c r="A95" s="6" t="inlineStr">
        <is>
          <t>Wizard 5 · Locations / sites (S05)</t>
        </is>
      </c>
      <c r="B95" s="6" t="inlineStr">
        <is>
          <t>Country</t>
        </is>
      </c>
      <c r="C95" s="6" t="inlineStr">
        <is>
          <t>Keep</t>
        </is>
      </c>
      <c r="D95" s="6" t="inlineStr">
        <is>
          <t>profile.profile_addresses.country</t>
        </is>
      </c>
      <c r="E95" s="6" t="inlineStr">
        <is>
          <t>Public</t>
        </is>
      </c>
      <c r="F95" s="6" t="inlineStr">
        <is>
          <t>M03-2 LOC-004, LOC-005; M03-5 §3.5; M03-6 §6.</t>
        </is>
      </c>
    </row>
    <row r="96">
      <c r="A96" s="6" t="inlineStr">
        <is>
          <t>Wizard 5 · Locations / sites (S05)</t>
        </is>
      </c>
      <c r="B96" s="6" t="inlineStr">
        <is>
          <t>State</t>
        </is>
      </c>
      <c r="C96" s="6" t="inlineStr">
        <is>
          <t>Keep</t>
        </is>
      </c>
      <c r="D96" s="6" t="inlineStr">
        <is>
          <t>profile.profile_addresses.region_code</t>
        </is>
      </c>
      <c r="E96" s="6" t="inlineStr">
        <is>
          <t>Public</t>
        </is>
      </c>
      <c r="F96" s="6" t="inlineStr">
        <is>
          <t>M03-2 LOC-004; M03-5 §3.5; M03-6 §6.</t>
        </is>
      </c>
    </row>
    <row r="97">
      <c r="A97" s="6" t="inlineStr">
        <is>
          <t>Wizard 5 · Locations / sites (S05)</t>
        </is>
      </c>
      <c r="B97" s="6" t="inlineStr">
        <is>
          <t>City / District</t>
        </is>
      </c>
      <c r="C97" s="6" t="inlineStr">
        <is>
          <t>Keep</t>
        </is>
      </c>
      <c r="D97" s="6" t="inlineStr">
        <is>
          <t>profile.profile_addresses.city, district_code</t>
        </is>
      </c>
      <c r="E97" s="6" t="inlineStr">
        <is>
          <t>Public</t>
        </is>
      </c>
      <c r="F97" s="6" t="inlineStr">
        <is>
          <t>M03-2 LOC-004; M03-5 §3.5; M03-6 §6.</t>
        </is>
      </c>
    </row>
    <row r="98">
      <c r="A98" s="6" t="inlineStr">
        <is>
          <t>Wizard 5 · Locations / sites (S05)</t>
        </is>
      </c>
      <c r="B98" s="6" t="inlineStr">
        <is>
          <t>Address line(s)</t>
        </is>
      </c>
      <c r="C98" s="6" t="inlineStr">
        <is>
          <t>Keep</t>
        </is>
      </c>
      <c r="D98" s="6" t="inlineStr">
        <is>
          <t>profile.profile_addresses.address_lines</t>
        </is>
      </c>
      <c r="E98" s="6" t="inlineStr">
        <is>
          <t>Private</t>
        </is>
      </c>
      <c r="F98" s="6" t="inlineStr">
        <is>
          <t>M03-2 LOC-004; M03-5 §3.5; M03-6 §6.</t>
        </is>
      </c>
    </row>
    <row r="99">
      <c r="A99" s="6" t="inlineStr">
        <is>
          <t>Wizard 5 · Locations / sites (S05)</t>
        </is>
      </c>
      <c r="B99" s="6" t="inlineStr">
        <is>
          <t>Pincode</t>
        </is>
      </c>
      <c r="C99" s="6" t="inlineStr">
        <is>
          <t>Keep</t>
        </is>
      </c>
      <c r="D99" s="6" t="inlineStr">
        <is>
          <t>profile.profile_addresses.postal_code</t>
        </is>
      </c>
      <c r="E99" s="6" t="inlineStr">
        <is>
          <t>Private</t>
        </is>
      </c>
      <c r="F99" s="6" t="inlineStr">
        <is>
          <t>M03-2 LOC-004; M03-5 §3.5; M03-6 §6.</t>
        </is>
      </c>
    </row>
    <row r="100">
      <c r="A100" s="6" t="inlineStr">
        <is>
          <t>Wizard 5 · Locations / sites (S05)</t>
        </is>
      </c>
      <c r="B100" s="6" t="inlineStr">
        <is>
          <t>Landmark (if there is no street or PIN)</t>
        </is>
      </c>
      <c r="C100" s="6" t="inlineStr">
        <is>
          <t>Add</t>
        </is>
      </c>
      <c r="D100" s="6" t="inlineStr">
        <is>
          <t>profile.profile_addresses.landmark</t>
        </is>
      </c>
      <c r="E100" s="6" t="inlineStr">
        <is>
          <t>Private</t>
        </is>
      </c>
      <c r="F100" s="6" t="inlineStr">
        <is>
          <t>M03-2 LOC-003; M03-5 §3.5; M03-6 §6.</t>
        </is>
      </c>
    </row>
    <row r="101">
      <c r="A101" s="6" t="inlineStr">
        <is>
          <t>Wizard 5 · Locations / sites (S05)</t>
        </is>
      </c>
      <c r="B101" s="6" t="inlineStr">
        <is>
          <t>Pin on the map (Figma 'Location Access')</t>
        </is>
      </c>
      <c r="C101" s="6" t="inlineStr">
        <is>
          <t>Keep (optional)</t>
        </is>
      </c>
      <c r="D101" s="6" t="inlineStr">
        <is>
          <t>profile.profile_addresses.geo_point_encrypted</t>
        </is>
      </c>
      <c r="E101" s="6" t="inlineStr">
        <is>
          <t>Private (Restricted)</t>
        </is>
      </c>
      <c r="F101" s="6" t="inlineStr">
        <is>
          <t>M03-2 LOC-004; M03-5 §3.5; M03-6 §6.</t>
        </is>
      </c>
    </row>
    <row r="102">
      <c r="A102" s="6" t="inlineStr">
        <is>
          <t>Wizard 5 · Locations / sites (S05)</t>
        </is>
      </c>
      <c r="B102" s="6" t="inlineStr">
        <is>
          <t>Main location</t>
        </is>
      </c>
      <c r="C102" s="6" t="inlineStr">
        <is>
          <t>Add</t>
        </is>
      </c>
      <c r="D102" s="6" t="inlineStr">
        <is>
          <t>profile.profile_addresses.is_primary</t>
        </is>
      </c>
      <c r="E102" s="6" t="inlineStr">
        <is>
          <t>n/a</t>
        </is>
      </c>
      <c r="F102" s="6" t="inlineStr">
        <is>
          <t>M03-2 LOC-001, LOC-006; M03-5 §3.5; M03-6 §6.</t>
        </is>
      </c>
    </row>
    <row r="103">
      <c r="A103" s="6" t="inlineStr">
        <is>
          <t>Wizard 5 · Locations / sites (S05)</t>
        </is>
      </c>
      <c r="B103" s="6" t="inlineStr">
        <is>
          <t>Contact hours</t>
        </is>
      </c>
      <c r="C103" s="6" t="inlineStr">
        <is>
          <t>Keep (decide)</t>
        </is>
      </c>
      <c r="D103" s="6" t="inlineStr">
        <is>
          <t>profile.profile_addresses.contact_hours</t>
        </is>
      </c>
      <c r="E103" s="6" t="inlineStr">
        <is>
          <t>Public ('Usually available {days} {hours}')</t>
        </is>
      </c>
      <c r="F103" s="6" t="inlineStr">
        <is>
          <t>M03-2 LOC-008; M03-5 §3.5; M03-6 §6, §15.</t>
        </is>
      </c>
    </row>
    <row r="104">
      <c r="A104" s="6" t="inlineStr">
        <is>
          <t>Wizard 5 · Locations / sites (S05)</t>
        </is>
      </c>
      <c r="B104" s="6" t="inlineStr">
        <is>
          <t>Site photos (2)</t>
        </is>
      </c>
      <c r="C104" s="6" t="inlineStr">
        <is>
          <t>Keep</t>
        </is>
      </c>
      <c r="D104" s="6" t="inlineStr">
        <is>
          <t>profile.profile_addresses.photo_file_ids → platform.files (purpose = location_photo)</t>
        </is>
      </c>
      <c r="E104" s="6" t="inlineStr">
        <is>
          <t>Public after M01 safety review</t>
        </is>
      </c>
      <c r="F104" s="6" t="inlineStr">
        <is>
          <t>M03-2 LOC-009; M03-5 §3.5; M01-5 §2.1; M03-6 §6, §15. Up to 2.</t>
        </is>
      </c>
    </row>
    <row r="105">
      <c r="A105" s="6" t="inlineStr">
        <is>
          <t>Wizard 5 · Locations / sites (S05)</t>
        </is>
      </c>
      <c r="B105" s="6" t="inlineStr">
        <is>
          <t>Site video (3 MB)</t>
        </is>
      </c>
      <c r="C105" s="6" t="inlineStr">
        <is>
          <t>Keep</t>
        </is>
      </c>
      <c r="D105" s="6" t="inlineStr">
        <is>
          <t>profile.profile_addresses.video_file_id → platform.files (purpose = location_video); platform.video_assets</t>
        </is>
      </c>
      <c r="E105" s="6" t="inlineStr">
        <is>
          <t>Public after M01 safety review</t>
        </is>
      </c>
      <c r="F105" s="6" t="inlineStr">
        <is>
          <t>M03-2 LOC-009; M03-5 §3.5; M01-5 §2.1, §2.3; M03-6 §6. ≤3 MB.</t>
        </is>
      </c>
    </row>
    <row r="106">
      <c r="A106" s="6" t="inlineStr">
        <is>
          <t>Wizard 6 · Links &amp; bio</t>
        </is>
      </c>
      <c r="B106" s="6" t="inlineStr">
        <is>
          <t>Short bio (300 chars) — marked PRIVATE in Figma</t>
        </is>
      </c>
      <c r="C106" s="6" t="inlineStr">
        <is>
          <t>Keep (separate, public — G11)</t>
        </is>
      </c>
      <c r="D106" s="6" t="inlineStr">
        <is>
          <t>profile.profiles.short_bio</t>
        </is>
      </c>
      <c r="E106" s="6" t="inlineStr">
        <is>
          <t>Public</t>
        </is>
      </c>
      <c r="F106" s="6" t="inlineStr">
        <is>
          <t>M03-2 PRF-014; M03-5 §2.1; M03-6 §12, §15. ≤300 chars; kept with the description.</t>
        </is>
      </c>
    </row>
    <row r="107">
      <c r="A107" s="6" t="inlineStr">
        <is>
          <t>Wizard 6 · Links &amp; bio</t>
        </is>
      </c>
      <c r="B107" s="6" t="inlineStr">
        <is>
          <t>Website</t>
        </is>
      </c>
      <c r="C107" s="6" t="inlineStr">
        <is>
          <t>Keep</t>
        </is>
      </c>
      <c r="D107" s="6" t="inlineStr">
        <is>
          <t>profile.profile_links (link_type = website, url, handle_input, scan_status, ownership_method, ownership_confirmed_at, is_public, display_order)</t>
        </is>
      </c>
      <c r="E107" s="6" t="inlineStr">
        <is>
          <t>Public after verification, ownership check and safe scan</t>
        </is>
      </c>
      <c r="F107" s="6" t="inlineStr">
        <is>
          <t>M03-2 PRF-009, PRF-010, PRF-016; M03-5 §8.2; M03-6 §12.</t>
        </is>
      </c>
    </row>
    <row r="108">
      <c r="A108" s="6" t="inlineStr">
        <is>
          <t>Wizard 6 · Links &amp; bio</t>
        </is>
      </c>
      <c r="B108" s="6" t="inlineStr">
        <is>
          <t>Instagram</t>
        </is>
      </c>
      <c r="C108" s="6" t="inlineStr">
        <is>
          <t>Keep</t>
        </is>
      </c>
      <c r="D108" s="6" t="inlineStr">
        <is>
          <t>profile.profile_links (link_type = instagram)</t>
        </is>
      </c>
      <c r="E108" s="6" t="inlineStr">
        <is>
          <t>Public after verification, ownership check and safe scan</t>
        </is>
      </c>
      <c r="F108" s="6" t="inlineStr">
        <is>
          <t>M03-2 PRF-016; M03-5 §8.2; M03-6 §12.</t>
        </is>
      </c>
    </row>
    <row r="109">
      <c r="A109" s="6" t="inlineStr">
        <is>
          <t>Wizard 6 · Links &amp; bio</t>
        </is>
      </c>
      <c r="B109" s="6" t="inlineStr">
        <is>
          <t>Facebook</t>
        </is>
      </c>
      <c r="C109" s="6" t="inlineStr">
        <is>
          <t>Keep</t>
        </is>
      </c>
      <c r="D109" s="6" t="inlineStr">
        <is>
          <t>profile.profile_links (link_type = facebook)</t>
        </is>
      </c>
      <c r="E109" s="6" t="inlineStr">
        <is>
          <t>Public after verification, ownership check and safe scan</t>
        </is>
      </c>
      <c r="F109" s="6" t="inlineStr">
        <is>
          <t>M03-2 PRF-016; M03-5 §8.2; M03-6 §12.</t>
        </is>
      </c>
    </row>
    <row r="110">
      <c r="A110" s="6" t="inlineStr">
        <is>
          <t>Wizard 6 · Links &amp; bio</t>
        </is>
      </c>
      <c r="B110" s="6" t="inlineStr">
        <is>
          <t>YouTube</t>
        </is>
      </c>
      <c r="C110" s="6" t="inlineStr">
        <is>
          <t>Add</t>
        </is>
      </c>
      <c r="D110" s="6" t="inlineStr">
        <is>
          <t>profile.profile_links (link_type = youtube)</t>
        </is>
      </c>
      <c r="E110" s="6" t="inlineStr">
        <is>
          <t>Public after verification, ownership check and safe scan</t>
        </is>
      </c>
      <c r="F110" s="6" t="inlineStr">
        <is>
          <t>M03-2 PRF-016; M03-5 §8.2; M03-6 §12.</t>
        </is>
      </c>
    </row>
    <row r="111">
      <c r="A111" s="6" t="inlineStr">
        <is>
          <t>Wizard 6 · Links &amp; bio</t>
        </is>
      </c>
      <c r="B111" s="6" t="inlineStr">
        <is>
          <t>LinkedIn</t>
        </is>
      </c>
      <c r="C111" s="6" t="inlineStr">
        <is>
          <t>Add</t>
        </is>
      </c>
      <c r="D111" s="6" t="inlineStr">
        <is>
          <t>profile.profile_links (link_type = linkedin)</t>
        </is>
      </c>
      <c r="E111" s="6" t="inlineStr">
        <is>
          <t>Public after verification, ownership check and safe scan</t>
        </is>
      </c>
      <c r="F111" s="6" t="inlineStr">
        <is>
          <t>M03-2 PRF-016; M03-5 §8.2; M03-6 §12.</t>
        </is>
      </c>
    </row>
    <row r="112">
      <c r="A112" s="6" t="inlineStr">
        <is>
          <t>Wizard 6 · Links &amp; bio</t>
        </is>
      </c>
      <c r="B112" s="6" t="inlineStr">
        <is>
          <t>WhatsApp Business number</t>
        </is>
      </c>
      <c r="C112" s="6" t="inlineStr">
        <is>
          <t>Remove</t>
        </is>
      </c>
      <c r="D112" s="6" t="inlineStr">
        <is>
          <t>NOT STORED (by design) — profile_links refuses WhatsApp and phone hosts</t>
        </is>
      </c>
      <c r="E112" s="6" t="inlineStr">
        <is>
          <t>n/a</t>
        </is>
      </c>
      <c r="F112" s="6" t="inlineStr">
        <is>
          <t>Decision 10; M03-2 PRF-009; M03-5 §8.2; M03-6 §10, §12.</t>
        </is>
      </c>
    </row>
    <row r="113">
      <c r="A113" s="6" t="inlineStr">
        <is>
          <t>Wizard 6 · Links &amp; bio</t>
        </is>
      </c>
      <c r="B113" s="6" t="inlineStr">
        <is>
          <t>Link status (Figma 'Verified by meta tag' / 'code in bio')</t>
        </is>
      </c>
      <c r="C113" s="6" t="inlineStr">
        <is>
          <t>Change (words 'Checking' / 'Link confirmed')</t>
        </is>
      </c>
      <c r="D113" s="6" t="inlineStr">
        <is>
          <t>profile.profile_links.ownership_method, ownership_token_hash, ownership_code_expires_at, ownership_confirmed_at; scan_status, scanned_at, next_scan_at</t>
        </is>
      </c>
      <c r="E113" s="6" t="inlineStr">
        <is>
          <t>Public ('Link confirmed' on confirmed links); token hash internal</t>
        </is>
      </c>
      <c r="F113" s="6" t="inlineStr">
        <is>
          <t>M03-2 PRF-010, PRF-016; M03-5 §8.2; M03-6 §2, §12, §15.</t>
        </is>
      </c>
    </row>
    <row r="114">
      <c r="A114" s="6" t="inlineStr">
        <is>
          <t>Wizard 6 · Links &amp; bio</t>
        </is>
      </c>
      <c r="B114" s="6" t="inlineStr">
        <is>
          <t>Show on public profile (switch)</t>
        </is>
      </c>
      <c r="C114" s="6" t="inlineStr">
        <is>
          <t>Add</t>
        </is>
      </c>
      <c r="D114" s="6" t="inlineStr">
        <is>
          <t>profile.profile_links.is_public</t>
        </is>
      </c>
      <c r="E114" s="6" t="inlineStr">
        <is>
          <t>n/a</t>
        </is>
      </c>
      <c r="F114" s="6" t="inlineStr">
        <is>
          <t>M03-5 §8.2 (max 5 active links); M03-6 §12.</t>
        </is>
      </c>
    </row>
    <row r="115">
      <c r="A115" s="6" t="inlineStr">
        <is>
          <t>Wizard 7 · Preview</t>
        </is>
      </c>
      <c r="B115" s="6" t="inlineStr">
        <is>
          <t>Headline = store name (not person name)</t>
        </is>
      </c>
      <c r="C115" s="6" t="inlineStr">
        <is>
          <t>Change</t>
        </is>
      </c>
      <c r="D115" s="6" t="inlineStr">
        <is>
          <t>profile.profiles.trading_name</t>
        </is>
      </c>
      <c r="E115" s="6" t="inlineStr">
        <is>
          <t>Public</t>
        </is>
      </c>
      <c r="F115" s="6" t="inlineStr">
        <is>
          <t>M03-2 PRF-015; M03-5 §2.1; M03-6 §15.</t>
        </is>
      </c>
    </row>
    <row r="116">
      <c r="A116" s="6" t="inlineStr">
        <is>
          <t>Wizard 7 · Preview</t>
        </is>
      </c>
      <c r="B116" s="6" t="inlineStr">
        <is>
          <t>Legal name next to store name</t>
        </is>
      </c>
      <c r="C116" s="6" t="inlineStr">
        <is>
          <t>Keep</t>
        </is>
      </c>
      <c r="D116" s="6" t="inlineStr">
        <is>
          <t>profile.profiles.legal_name</t>
        </is>
      </c>
      <c r="E116" s="6" t="inlineStr">
        <is>
          <t>Public</t>
        </is>
      </c>
      <c r="F116" s="6" t="inlineStr">
        <is>
          <t>Decision 1; M03-5 §2.1; M03-6 §15.</t>
        </is>
      </c>
    </row>
    <row r="117">
      <c r="A117" s="6" t="inlineStr">
        <is>
          <t>Wizard 7 · Preview</t>
        </is>
      </c>
      <c r="B117" s="6" t="inlineStr">
        <is>
          <t>Role · badges ('Business verified · as of {date}')</t>
        </is>
      </c>
      <c r="C117" s="6" t="inlineStr">
        <is>
          <t>Change (no 'Identity Verified' wording)</t>
        </is>
      </c>
      <c r="D117" s="6" t="inlineStr">
        <is>
          <t>profile.role_assignments.role; profile.badges (badge_type, status, as_of_at)</t>
        </is>
      </c>
      <c r="E117" s="6" t="inlineStr">
        <is>
          <t>Public</t>
        </is>
      </c>
      <c r="F117" s="6" t="inlineStr">
        <is>
          <t>M03-2 TRS-001–005; M03-5 §2.3, §4.6; M03-6 §8.2, §15.</t>
        </is>
      </c>
    </row>
    <row r="118">
      <c r="A118" s="6" t="inlineStr">
        <is>
          <t>Wizard 7 · Preview</t>
        </is>
      </c>
      <c r="B118" s="6" t="inlineStr">
        <is>
          <t>Place (City, State, Country)</t>
        </is>
      </c>
      <c r="C118" s="6" t="inlineStr">
        <is>
          <t>Keep</t>
        </is>
      </c>
      <c r="D118" s="6" t="inlineStr">
        <is>
          <t>primary profile.profile_addresses (city / district_code, region_code, country)</t>
        </is>
      </c>
      <c r="E118" s="6" t="inlineStr">
        <is>
          <t>Public</t>
        </is>
      </c>
      <c r="F118" s="6" t="inlineStr">
        <is>
          <t>M03-2 LOC-004; M03-5 §3.5; M03-6 §15.</t>
        </is>
      </c>
    </row>
    <row r="119">
      <c r="A119" s="6" t="inlineStr">
        <is>
          <t>Wizard 7 · Preview</t>
        </is>
      </c>
      <c r="B119" s="6" t="inlineStr">
        <is>
          <t>Primary products</t>
        </is>
      </c>
      <c r="C119" s="6" t="inlineStr">
        <is>
          <t>Keep</t>
        </is>
      </c>
      <c r="D119" s="6" t="inlineStr">
        <is>
          <t>profile.profile_interests (direction = offer)</t>
        </is>
      </c>
      <c r="E119" s="6" t="inlineStr">
        <is>
          <t>Public</t>
        </is>
      </c>
      <c r="F119" s="6" t="inlineStr">
        <is>
          <t>M03-5 §8.1; M03-6 §15.</t>
        </is>
      </c>
    </row>
    <row r="120">
      <c r="A120" s="6" t="inlineStr">
        <is>
          <t>Wizard 7 · Preview</t>
        </is>
      </c>
      <c r="B120" s="6" t="inlineStr">
        <is>
          <t>Registration number (masked + 'active')</t>
        </is>
      </c>
      <c r="C120" s="6" t="inlineStr">
        <is>
          <t>Keep</t>
        </is>
      </c>
      <c r="D120" s="6" t="inlineStr">
        <is>
          <t>profile.business_registrations.number_masked + registry_status</t>
        </is>
      </c>
      <c r="E120" s="6" t="inlineStr">
        <is>
          <t>Public</t>
        </is>
      </c>
      <c r="F120" s="6" t="inlineStr">
        <is>
          <t>Decision 1; M03-5 §3.2; M03-6 §3.3, §15.</t>
        </is>
      </c>
    </row>
    <row r="121">
      <c r="A121" s="6" t="inlineStr">
        <is>
          <t>Wizard 7 · Preview</t>
        </is>
      </c>
      <c r="B121" s="6" t="inlineStr">
        <is>
          <t>Contact person · Email · Mobile · WhatsApp (Figma: PUBLIC)</t>
        </is>
      </c>
      <c r="C121" s="6" t="inlineStr">
        <is>
          <t>Change (all private; 'Contact this seller through OudhTrade')</t>
        </is>
      </c>
      <c r="D121" s="6" t="inlineStr">
        <is>
          <t>identity.accounts.phone / email; profile.profile_contacts.value; profile.authorised_persons.full_name_as_on_id; WhatsApp NOT STORED (by design)</t>
        </is>
      </c>
      <c r="E121" s="6" t="inlineStr">
        <is>
          <t>Private</t>
        </is>
      </c>
      <c r="F121" s="6" t="inlineStr">
        <is>
          <t>M03-2 PRF-002 [TBC: C14]; M03-6 §15 ('Contact this seller through OudhTrade').</t>
        </is>
      </c>
    </row>
    <row r="122">
      <c r="A122" s="6" t="inlineStr">
        <is>
          <t>Wizard 7 · Preview</t>
        </is>
      </c>
      <c r="B122" s="6" t="inlineStr">
        <is>
          <t>How you trade: Entity type</t>
        </is>
      </c>
      <c r="C122" s="6" t="inlineStr">
        <is>
          <t>Remove (business-only roles)</t>
        </is>
      </c>
      <c r="D122" s="6" t="inlineStr">
        <is>
          <t>profile.profiles.profile_kind (implied)</t>
        </is>
      </c>
      <c r="E122" s="6" t="inlineStr">
        <is>
          <t>n/a</t>
        </is>
      </c>
      <c r="F122" s="6" t="inlineStr">
        <is>
          <t>Decision 2; M03-5 §2.1, §2.3.</t>
        </is>
      </c>
    </row>
    <row r="123">
      <c r="A123" s="6" t="inlineStr">
        <is>
          <t>Wizard 7 · Preview</t>
        </is>
      </c>
      <c r="B123" s="6" t="inlineStr">
        <is>
          <t>Save and finish later</t>
        </is>
      </c>
      <c r="C123" s="6" t="inlineStr">
        <is>
          <t>Keep</t>
        </is>
      </c>
      <c r="D123" s="6" t="inlineStr">
        <is>
          <t>profile.profile_drafts (form_key, field_key, value_text / value_encrypted, expires_at)</t>
        </is>
      </c>
      <c r="E123" s="6" t="inlineStr">
        <is>
          <t>Private</t>
        </is>
      </c>
      <c r="F123" s="6" t="inlineStr">
        <is>
          <t>M03-2 DAT-001–003; M03-5 §8.3; M03-6 §2. Kept 90 days.</t>
        </is>
      </c>
    </row>
    <row r="124">
      <c r="A124" s="6" t="inlineStr">
        <is>
          <t>Wizard 7 · Preview</t>
        </is>
      </c>
      <c r="B124" s="6" t="inlineStr">
        <is>
          <t>Submit for verification (+ consents for third-party checks)</t>
        </is>
      </c>
      <c r="C124" s="6" t="inlineStr">
        <is>
          <t>Change</t>
        </is>
      </c>
      <c r="D124" s="6" t="inlineStr">
        <is>
          <t>profile.verification_cases; profile.verification_consents</t>
        </is>
      </c>
      <c r="E124" s="6" t="inlineStr">
        <is>
          <t>n/a</t>
        </is>
      </c>
      <c r="F124" s="6" t="inlineStr">
        <is>
          <t>M03-2 VER-001, DAT-004; M03-5 §4.2, §4.5; M03-6 §5.1, §7, §8.1. DigiLocker, e-KYC, share consents not worded.</t>
        </is>
      </c>
    </row>
    <row r="125">
      <c r="A125" s="6" t="inlineStr">
        <is>
          <t>Identity check (S06)</t>
        </is>
      </c>
      <c r="B125" s="6" t="inlineStr">
        <is>
          <t>Is the authorised person here? (Yes / send them a link)</t>
        </is>
      </c>
      <c r="C125" s="6" t="inlineStr">
        <is>
          <t>Add</t>
        </is>
      </c>
      <c r="D125" s="6" t="inlineStr">
        <is>
          <t>profile.identity_checks.alternative_route = remote_link, remote_link_token_hash / remote_link_expires_at / remote_link_status</t>
        </is>
      </c>
      <c r="E125" s="6" t="inlineStr">
        <is>
          <t>Private</t>
        </is>
      </c>
      <c r="F125" s="6" t="inlineStr">
        <is>
          <t>M03-2 IDV-012; M03-5 §4.4; M03-6 §7.</t>
        </is>
      </c>
    </row>
    <row r="126">
      <c r="A126" s="6" t="inlineStr">
        <is>
          <t>Identity check (S06)</t>
        </is>
      </c>
      <c r="B126" s="6" t="inlineStr">
        <is>
          <t>Route: DigiLocker · Upload ID photo · Aadhaar OTP (after approval)</t>
        </is>
      </c>
      <c r="C126" s="6" t="inlineStr">
        <is>
          <t>Add</t>
        </is>
      </c>
      <c r="D126" s="6" t="inlineStr">
        <is>
          <t>profile.identity_checks.method</t>
        </is>
      </c>
      <c r="E126" s="6" t="inlineStr">
        <is>
          <t>Private</t>
        </is>
      </c>
      <c r="F126" s="6" t="inlineStr">
        <is>
          <t>M03-2 IDV-001; M03-5 §4.4; M03-6 §7.</t>
        </is>
      </c>
    </row>
    <row r="127">
      <c r="A127" s="6" t="inlineStr">
        <is>
          <t>Identity check (S06)</t>
        </is>
      </c>
      <c r="B127" s="6" t="inlineStr">
        <is>
          <t>Consent per check (DigiLocker, Aadhaar e-KYC, selfie)</t>
        </is>
      </c>
      <c r="C127" s="6" t="inlineStr">
        <is>
          <t>Add</t>
        </is>
      </c>
      <c r="D127" s="6" t="inlineStr">
        <is>
          <t>profile.verification_consents (check_type = digilocker / aadhaar_ekyc / selfie_match, text_version, choice) → identity_checks.consent_id</t>
        </is>
      </c>
      <c r="E127" s="6" t="inlineStr">
        <is>
          <t>Private</t>
        </is>
      </c>
      <c r="F127" s="6" t="inlineStr">
        <is>
          <t>M03-2 DAT-004, DAT-005; M03-5 §4.4, §4.5; M03-6 §7 words the selfie consent only.</t>
        </is>
      </c>
    </row>
    <row r="128">
      <c r="A128" s="6" t="inlineStr">
        <is>
          <t>Identity check (S06)</t>
        </is>
      </c>
      <c r="B128" s="6" t="inlineStr">
        <is>
          <t>Choose your ID (type, issuing country)</t>
        </is>
      </c>
      <c r="C128" s="6" t="inlineStr">
        <is>
          <t>Add</t>
        </is>
      </c>
      <c r="D128" s="6" t="inlineStr">
        <is>
          <t>profile.identity_checks.id_type, id_issuing_country</t>
        </is>
      </c>
      <c r="E128" s="6" t="inlineStr">
        <is>
          <t>Private</t>
        </is>
      </c>
      <c r="F128" s="6" t="inlineStr">
        <is>
          <t>M03-5 §4.4; M03-6 §7. Aadhaar never in the upload list.</t>
        </is>
      </c>
    </row>
    <row r="129">
      <c r="A129" s="6" t="inlineStr">
        <is>
          <t>Identity check (S06)</t>
        </is>
      </c>
      <c r="B129" s="6" t="inlineStr">
        <is>
          <t>ID photo (all four corners)</t>
        </is>
      </c>
      <c r="C129" s="6" t="inlineStr">
        <is>
          <t>Add</t>
        </is>
      </c>
      <c r="D129" s="6" t="inlineStr">
        <is>
          <t>profile.identity_checks.id_file_ids → platform.files</t>
        </is>
      </c>
      <c r="E129" s="6" t="inlineStr">
        <is>
          <t>Private (Restricted)</t>
        </is>
      </c>
      <c r="F129" s="6" t="inlineStr">
        <is>
          <t>M03-5 §4.4; M03-6 §7.</t>
        </is>
      </c>
    </row>
    <row r="130">
      <c r="A130" s="6" t="inlineStr">
        <is>
          <t>Identity check (S06)</t>
        </is>
      </c>
      <c r="B130" s="6" t="inlineStr">
        <is>
          <t>Name on ID (read, not typed)</t>
        </is>
      </c>
      <c r="C130" s="6" t="inlineStr">
        <is>
          <t>Add</t>
        </is>
      </c>
      <c r="D130" s="6" t="inlineStr">
        <is>
          <t>profile.identity_checks.name_on_id</t>
        </is>
      </c>
      <c r="E130" s="6" t="inlineStr">
        <is>
          <t>Private (Restricted)</t>
        </is>
      </c>
      <c r="F130" s="6" t="inlineStr">
        <is>
          <t>M03-2 IDV-004; M03-5 §4.4; M03-6 §7 ('Read from your ID').</t>
        </is>
      </c>
    </row>
    <row r="131">
      <c r="A131" s="6" t="inlineStr">
        <is>
          <t>Identity check (S06)</t>
        </is>
      </c>
      <c r="B131" s="6" t="inlineStr">
        <is>
          <t>Government ID number (typed)</t>
        </is>
      </c>
      <c r="C131" s="6" t="inlineStr">
        <is>
          <t>Remove</t>
        </is>
      </c>
      <c r="D131" s="6" t="inlineStr">
        <is>
          <t>NOT STORED (by design) as typed — only profile.identity_checks.id_number_hash / id_number_masked from DigiLocker or the ID read</t>
        </is>
      </c>
      <c r="E131" s="6" t="inlineStr">
        <is>
          <t>Private (Restricted)</t>
        </is>
      </c>
      <c r="F131" s="6" t="inlineStr">
        <is>
          <t>Decision 5a; M03-5 §4.4.</t>
        </is>
      </c>
    </row>
    <row r="132">
      <c r="A132" s="6" t="inlineStr">
        <is>
          <t>Identity check (S06)</t>
        </is>
      </c>
      <c r="B132" s="6" t="inlineStr">
        <is>
          <t>Aadhaar number</t>
        </is>
      </c>
      <c r="C132" s="6" t="inlineStr">
        <is>
          <t>Remove</t>
        </is>
      </c>
      <c r="D132" s="6" t="inlineStr">
        <is>
          <t>NOT STORED (by design) — only profile.identity_checks.aadhaar_last4 + provider_reference</t>
        </is>
      </c>
      <c r="E132" s="6" t="inlineStr">
        <is>
          <t>Private (Restricted)</t>
        </is>
      </c>
      <c r="F132" s="6" t="inlineStr">
        <is>
          <t>M03-2 IDV-002; M03-5 §4.4 (ck_identity_checks_no_aadhaar_number).</t>
        </is>
      </c>
    </row>
    <row r="133">
      <c r="A133" s="6" t="inlineStr">
        <is>
          <t>Identity check (S06)</t>
        </is>
      </c>
      <c r="B133" s="6" t="inlineStr">
        <is>
          <t>ID expiry</t>
        </is>
      </c>
      <c r="C133" s="6" t="inlineStr">
        <is>
          <t>Add</t>
        </is>
      </c>
      <c r="D133" s="6" t="inlineStr">
        <is>
          <t>profile.identity_checks.id_expiry_date</t>
        </is>
      </c>
      <c r="E133" s="6" t="inlineStr">
        <is>
          <t>Private</t>
        </is>
      </c>
      <c r="F133" s="6" t="inlineStr">
        <is>
          <t>M03-2 IDV-005; M03-5 §4.4; M03-6 §7 ('ID valid until').</t>
        </is>
      </c>
    </row>
    <row r="134">
      <c r="A134" s="6" t="inlineStr">
        <is>
          <t>Identity check (S06)</t>
        </is>
      </c>
      <c r="B134" s="6" t="inlineStr">
        <is>
          <t>Date of birth</t>
        </is>
      </c>
      <c r="C134" s="6" t="inlineStr">
        <is>
          <t>Remove</t>
        </is>
      </c>
      <c r="D134" s="6" t="inlineStr">
        <is>
          <t>NOT STORED (by design) — only profile.identity_checks.adult_confirmed_at / profile.profiles.adult_confirmed_at</t>
        </is>
      </c>
      <c r="E134" s="6" t="inlineStr">
        <is>
          <t>n/a</t>
        </is>
      </c>
      <c r="F134" s="6" t="inlineStr">
        <is>
          <t>M03-2 IDV-006; M02-2 ACC-008; M03-5 §2.1, §4.4.</t>
        </is>
      </c>
    </row>
    <row r="135">
      <c r="A135" s="6" t="inlineStr">
        <is>
          <t>Identity check (S06)</t>
        </is>
      </c>
      <c r="B135" s="6" t="inlineStr">
        <is>
          <t>Live selfie (skip when DigiLocker mobile or Aadhaar already confirms)</t>
        </is>
      </c>
      <c r="C135" s="6" t="inlineStr">
        <is>
          <t>Add</t>
        </is>
      </c>
      <c r="D135" s="6" t="inlineStr">
        <is>
          <t>NOT STORED (by design) (selfie deleted) — results in identity_checks.liveness_result, face_match_result, face_match_score, selfie_attempts, selfie_skip_reason, selfie_deleted_at</t>
        </is>
      </c>
      <c r="E135" s="6" t="inlineStr">
        <is>
          <t>Private (Restricted)</t>
        </is>
      </c>
      <c r="F135" s="6" t="inlineStr">
        <is>
          <t>M03-2 IDV-008, IDV-010; M03-5 §4.4; M03-6 §7. Never public.</t>
        </is>
      </c>
    </row>
    <row r="136">
      <c r="A136" s="6" t="inlineStr">
        <is>
          <t>Identity check (S06)</t>
        </is>
      </c>
      <c r="B136" s="6" t="inlineStr">
        <is>
          <t>Fallbacks: video call · field agent in person</t>
        </is>
      </c>
      <c r="C136" s="6" t="inlineStr">
        <is>
          <t>Add</t>
        </is>
      </c>
      <c r="D136" s="6" t="inlineStr">
        <is>
          <t>profile.identity_checks.alternative_route, video_call_staff_id, agent_staff_id</t>
        </is>
      </c>
      <c r="E136" s="6" t="inlineStr">
        <is>
          <t>Private</t>
        </is>
      </c>
      <c r="F136" s="6" t="inlineStr">
        <is>
          <t>M03-2 IDV-013; M03-5 §4.4; M03-6 §7.</t>
        </is>
      </c>
    </row>
    <row r="137">
      <c r="A137" s="6" t="inlineStr">
        <is>
          <t>Identity check (S06)</t>
        </is>
      </c>
      <c r="B137" s="6" t="inlineStr">
        <is>
          <t>ID issuing authority (typed)</t>
        </is>
      </c>
      <c r="C137" s="6" t="inlineStr">
        <is>
          <t>Remove</t>
        </is>
      </c>
      <c r="D137" s="6" t="inlineStr">
        <is>
          <t>NOT STORED (by design)</t>
        </is>
      </c>
      <c r="E137" s="6" t="inlineStr">
        <is>
          <t>n/a</t>
        </is>
      </c>
      <c r="F137" s="6" t="inlineStr">
        <is>
          <t>Decision 5a; M03-6 §7 (ID read, not typed).</t>
        </is>
      </c>
    </row>
    <row r="138">
      <c r="A138" s="6" t="inlineStr">
        <is>
          <t>Individual buyer profile (S10)</t>
        </is>
      </c>
      <c r="B138" s="6" t="inlineStr">
        <is>
          <t>Your name (as on your ID) — Figma 'Full Legal Name*'</t>
        </is>
      </c>
      <c r="C138" s="6" t="inlineStr">
        <is>
          <t>Change (pre-filled from sign-up)</t>
        </is>
      </c>
      <c r="D138" s="6" t="inlineStr">
        <is>
          <t>profile.profiles.person_legal_name (identity.accounts.display_name is for greetings only)</t>
        </is>
      </c>
      <c r="E138" s="6" t="inlineStr">
        <is>
          <t>Shown only to sellers the buyer contacts</t>
        </is>
      </c>
      <c r="F138" s="6" t="inlineStr">
        <is>
          <t>M03-2 BUY-001, BUY-002, PRF-015; M03-5 §2.1; M03-6 §11.</t>
        </is>
      </c>
    </row>
    <row r="139">
      <c r="A139" s="6" t="inlineStr">
        <is>
          <t>Individual buyer profile (S10)</t>
        </is>
      </c>
      <c r="B139" s="6" t="inlineStr">
        <is>
          <t>City</t>
        </is>
      </c>
      <c r="C139" s="6" t="inlineStr">
        <is>
          <t>Change (city only)</t>
        </is>
      </c>
      <c r="D139" s="6" t="inlineStr">
        <is>
          <t>profile.profile_addresses.city (address_type = home; only city and country filled)</t>
        </is>
      </c>
      <c r="E139" s="6" t="inlineStr">
        <is>
          <t>Private</t>
        </is>
      </c>
      <c r="F139" s="6" t="inlineStr">
        <is>
          <t>M03-2 LOC-010, BUY-001; M03-5 §3.5; M03-6 §11.</t>
        </is>
      </c>
    </row>
    <row r="140">
      <c r="A140" s="6" t="inlineStr">
        <is>
          <t>Individual buyer profile (S10)</t>
        </is>
      </c>
      <c r="B140" s="6" t="inlineStr">
        <is>
          <t>Country</t>
        </is>
      </c>
      <c r="C140" s="6" t="inlineStr">
        <is>
          <t>Keep</t>
        </is>
      </c>
      <c r="D140" s="6" t="inlineStr">
        <is>
          <t>identity.accounts.declared_country → profile.profiles.billing_country</t>
        </is>
      </c>
      <c r="E140" s="6" t="inlineStr">
        <is>
          <t>Shown to contacted sellers</t>
        </is>
      </c>
      <c r="F140" s="6" t="inlineStr">
        <is>
          <t>M03-2 BUY-001, TRS-009; M02-5 §2.1; M03-5 §2.1; M03-6 §11.</t>
        </is>
      </c>
    </row>
    <row r="141">
      <c r="A141" s="6" t="inlineStr">
        <is>
          <t>Individual buyer profile (S10)</t>
        </is>
      </c>
      <c r="B141" s="6" t="inlineStr">
        <is>
          <t>Buying for (Myself · A business)</t>
        </is>
      </c>
      <c r="C141" s="6" t="inlineStr">
        <is>
          <t>Keep</t>
        </is>
      </c>
      <c r="D141" s="6" t="inlineStr">
        <is>
          <t>identity.accounts.declared_buyer_kind / profile.profiles.profile_kind</t>
        </is>
      </c>
      <c r="E141" s="6" t="inlineStr">
        <is>
          <t>Shown to contacted sellers</t>
        </is>
      </c>
      <c r="F141" s="6" t="inlineStr">
        <is>
          <t>M03-2 BUY-001; M03-5 §2.1; M03-6 §11.</t>
        </is>
      </c>
    </row>
    <row r="142">
      <c r="A142" s="6" t="inlineStr">
        <is>
          <t>Individual buyer profile (S10)</t>
        </is>
      </c>
      <c r="B142" s="6" t="inlineStr">
        <is>
          <t>What do you buy?</t>
        </is>
      </c>
      <c r="C142" s="6" t="inlineStr">
        <is>
          <t>Change (was 'Area of Interest')</t>
        </is>
      </c>
      <c r="D142" s="6" t="inlineStr">
        <is>
          <t>profile.profile_interests (direction = buy)</t>
        </is>
      </c>
      <c r="E142" s="6" t="inlineStr">
        <is>
          <t>Private</t>
        </is>
      </c>
      <c r="F142" s="6" t="inlineStr">
        <is>
          <t>M03-2 BUY-001; M03-5 §8.1; M03-6 §11.</t>
        </is>
      </c>
    </row>
    <row r="143">
      <c r="A143" s="6" t="inlineStr">
        <is>
          <t>Individual buyer profile (S10)</t>
        </is>
      </c>
      <c r="B143" s="6" t="inlineStr">
        <is>
          <t>Preferred origins (optional)</t>
        </is>
      </c>
      <c r="C143" s="6" t="inlineStr">
        <is>
          <t>Add</t>
        </is>
      </c>
      <c r="D143" s="6" t="inlineStr">
        <is>
          <t>profile.profile_interests.preferred_origins</t>
        </is>
      </c>
      <c r="E143" s="6" t="inlineStr">
        <is>
          <t>Private</t>
        </is>
      </c>
      <c r="F143" s="6" t="inlineStr">
        <is>
          <t>M03-2 BUY-001; M03-5 §8.1; M03-6 §11.</t>
        </is>
      </c>
    </row>
    <row r="144">
      <c r="A144" s="6" t="inlineStr">
        <is>
          <t>Individual buyer profile (S10)</t>
        </is>
      </c>
      <c r="B144" s="6" t="inlineStr">
        <is>
          <t>How often do you buy?</t>
        </is>
      </c>
      <c r="C144" s="6" t="inlineStr">
        <is>
          <t>Add</t>
        </is>
      </c>
      <c r="D144" s="6" t="inlineStr">
        <is>
          <t>profile.profile_interests.frequency</t>
        </is>
      </c>
      <c r="E144" s="6" t="inlineStr">
        <is>
          <t>Private</t>
        </is>
      </c>
      <c r="F144" s="6" t="inlineStr">
        <is>
          <t>M03-2 BUY-001; M03-5 §8.1; M03-6 §11.</t>
        </is>
      </c>
    </row>
    <row r="145">
      <c r="A145" s="6" t="inlineStr">
        <is>
          <t>Individual buyer profile (S10)</t>
        </is>
      </c>
      <c r="B145" s="6" t="inlineStr">
        <is>
          <t>Date of birth</t>
        </is>
      </c>
      <c r="C145" s="6" t="inlineStr">
        <is>
          <t>Remove</t>
        </is>
      </c>
      <c r="D145" s="6" t="inlineStr">
        <is>
          <t>NOT STORED (by design)</t>
        </is>
      </c>
      <c r="E145" s="6" t="inlineStr">
        <is>
          <t>n/a</t>
        </is>
      </c>
      <c r="F145" s="6" t="inlineStr">
        <is>
          <t>Decision 6c; M02-2 ACC-008.</t>
        </is>
      </c>
    </row>
    <row r="146">
      <c r="A146" s="6" t="inlineStr">
        <is>
          <t>Individual buyer profile (S10)</t>
        </is>
      </c>
      <c r="B146" s="6" t="inlineStr">
        <is>
          <t>Street address · Pincode</t>
        </is>
      </c>
      <c r="C146" s="6" t="inlineStr">
        <is>
          <t>Remove</t>
        </is>
      </c>
      <c r="D146" s="6" t="inlineStr">
        <is>
          <t>NOT STORED (by design)</t>
        </is>
      </c>
      <c r="E146" s="6" t="inlineStr">
        <is>
          <t>n/a</t>
        </is>
      </c>
      <c r="F146" s="6" t="inlineStr">
        <is>
          <t>Decision 6c; M03-2 LOC-010 (city only).</t>
        </is>
      </c>
    </row>
    <row r="147">
      <c r="A147" s="6" t="inlineStr">
        <is>
          <t>Individual buyer profile (S10)</t>
        </is>
      </c>
      <c r="B147" s="6" t="inlineStr">
        <is>
          <t>Gov ID type · issuing country · issuing authority · number · issue / expiry (typed)</t>
        </is>
      </c>
      <c r="C147" s="6" t="inlineStr">
        <is>
          <t>Remove</t>
        </is>
      </c>
      <c r="D147" s="6" t="inlineStr">
        <is>
          <t>NOT STORED (by design) as typed — only through Get Verified buyer (S06)</t>
        </is>
      </c>
      <c r="E147" s="6" t="inlineStr">
        <is>
          <t>n/a</t>
        </is>
      </c>
      <c r="F147" s="6" t="inlineStr">
        <is>
          <t>Decision 6c; M03-2 BUY-003; M03-6 §7, §11.</t>
        </is>
      </c>
    </row>
    <row r="148">
      <c r="A148" s="6" t="inlineStr">
        <is>
          <t>Individual buyer profile (S10)</t>
        </is>
      </c>
      <c r="B148" s="6" t="inlineStr">
        <is>
          <t>Get Verified buyer (optional)</t>
        </is>
      </c>
      <c r="C148" s="6" t="inlineStr">
        <is>
          <t>Add</t>
        </is>
      </c>
      <c r="D148" s="6" t="inlineStr">
        <is>
          <t>profile.verification_cases (case_type = verified_buyer); profile.identity_checks (subject_type = buyer); profile.badges (badge_type = verified_buyer)</t>
        </is>
      </c>
      <c r="E148" s="6" t="inlineStr">
        <is>
          <t>Badge shown to sellers</t>
        </is>
      </c>
      <c r="F148" s="6" t="inlineStr">
        <is>
          <t>M03-2 BUY-003; M03-5 §4.2, §4.4, §4.6; M03-6 §3.2, §11.</t>
        </is>
      </c>
    </row>
    <row r="149">
      <c r="A149" s="6" t="inlineStr">
        <is>
          <t>Individual buyer profile (S10)</t>
        </is>
      </c>
      <c r="B149" s="6" t="inlineStr">
        <is>
          <t>Get Business verified (business buyer, optional)</t>
        </is>
      </c>
      <c r="C149" s="6" t="inlineStr">
        <is>
          <t>Add</t>
        </is>
      </c>
      <c r="D149" s="6" t="inlineStr">
        <is>
          <t>profile.verification_cases (case_type = business_buyer) + S04 tables</t>
        </is>
      </c>
      <c r="E149" s="6" t="inlineStr">
        <is>
          <t>Private</t>
        </is>
      </c>
      <c r="F149" s="6" t="inlineStr">
        <is>
          <t>Decision 6a; M03-5 §4.2; M03-6 §11.</t>
        </is>
      </c>
    </row>
    <row r="150">
      <c r="A150" s="6" t="inlineStr">
        <is>
          <t>Individual buyer profile (S10)</t>
        </is>
      </c>
      <c r="B150" s="6" t="inlineStr">
        <is>
          <t>Buyer Logo / About / Company Sites / Documents / Business details steps</t>
        </is>
      </c>
      <c r="C150" s="6" t="inlineStr">
        <is>
          <t>Remove (from buyer setup)</t>
        </is>
      </c>
      <c r="D150" s="6" t="inlineStr">
        <is>
          <t>NOT STORED (by design) in buyer setup — only under optional Get Business verified (S04 tables)</t>
        </is>
      </c>
      <c r="E150" s="6" t="inlineStr">
        <is>
          <t>n/a</t>
        </is>
      </c>
      <c r="F150" s="6" t="inlineStr">
        <is>
          <t>Decision 6a; M03-6 §11.</t>
        </is>
      </c>
    </row>
    <row r="151">
      <c r="A151" s="6" t="inlineStr">
        <is>
          <t>Farmer profile — simple mode (S09)</t>
        </is>
      </c>
      <c r="B151" s="6" t="inlineStr">
        <is>
          <t>Your name (as on your ID)</t>
        </is>
      </c>
      <c r="C151" s="6" t="inlineStr">
        <is>
          <t>Keep</t>
        </is>
      </c>
      <c r="D151" s="6" t="inlineStr">
        <is>
          <t>profile.profiles.person_legal_name</t>
        </is>
      </c>
      <c r="E151" s="6" t="inlineStr">
        <is>
          <t>Private</t>
        </is>
      </c>
      <c r="F151" s="6" t="inlineStr">
        <is>
          <t>M03-2 FRM-001, PRF-015; M03-5 §2.1; M03-6 §10.</t>
        </is>
      </c>
    </row>
    <row r="152">
      <c r="A152" s="6" t="inlineStr">
        <is>
          <t>Farmer profile — simple mode (S09)</t>
        </is>
      </c>
      <c r="B152" s="6" t="inlineStr">
        <is>
          <t>Your name in Assamese / Bengali / Hindi (optional)</t>
        </is>
      </c>
      <c r="C152" s="6" t="inlineStr">
        <is>
          <t>Add</t>
        </is>
      </c>
      <c r="D152" s="6" t="inlineStr">
        <is>
          <t>profile.profiles.person_name_local</t>
        </is>
      </c>
      <c r="E152" s="6" t="inlineStr">
        <is>
          <t>Private</t>
        </is>
      </c>
      <c r="F152" s="6" t="inlineStr">
        <is>
          <t>M03-2 FRM-001; M03-5 §2.1; M03-6 §10.</t>
        </is>
      </c>
    </row>
    <row r="153">
      <c r="A153" s="6" t="inlineStr">
        <is>
          <t>Farmer profile — simple mode (S09)</t>
        </is>
      </c>
      <c r="B153" s="6" t="inlineStr">
        <is>
          <t>Public display name</t>
        </is>
      </c>
      <c r="C153" s="6" t="inlineStr">
        <is>
          <t>Add</t>
        </is>
      </c>
      <c r="D153" s="6" t="inlineStr">
        <is>
          <t>profile.profiles.display_name</t>
        </is>
      </c>
      <c r="E153" s="6" t="inlineStr">
        <is>
          <t>Public</t>
        </is>
      </c>
      <c r="F153" s="6" t="inlineStr">
        <is>
          <t>M03-2 PRF-015, FRM-001; M03-5 §2.1; M03-6 §10, §15. 2–60 chars.</t>
        </is>
      </c>
    </row>
    <row r="154">
      <c r="A154" s="6" t="inlineStr">
        <is>
          <t>Farmer profile — simple mode (S09)</t>
        </is>
      </c>
      <c r="B154" s="6" t="inlineStr">
        <is>
          <t>Your village</t>
        </is>
      </c>
      <c r="C154" s="6" t="inlineStr">
        <is>
          <t>Add</t>
        </is>
      </c>
      <c r="D154" s="6" t="inlineStr">
        <is>
          <t>profile.profile_addresses.village (address_type = home)</t>
        </is>
      </c>
      <c r="E154" s="6" t="inlineStr">
        <is>
          <t>Private</t>
        </is>
      </c>
      <c r="F154" s="6" t="inlineStr">
        <is>
          <t>M03-2 LOC-010, FRM-001; M03-5 §3.5; M03-6 §10.</t>
        </is>
      </c>
    </row>
    <row r="155">
      <c r="A155" s="6" t="inlineStr">
        <is>
          <t>Farmer profile — simple mode (S09)</t>
        </is>
      </c>
      <c r="B155" s="6" t="inlineStr">
        <is>
          <t>Your district</t>
        </is>
      </c>
      <c r="C155" s="6" t="inlineStr">
        <is>
          <t>Add</t>
        </is>
      </c>
      <c r="D155" s="6" t="inlineStr">
        <is>
          <t>profile.profile_addresses.district_code (address_type = home)</t>
        </is>
      </c>
      <c r="E155" s="6" t="inlineStr">
        <is>
          <t>Private</t>
        </is>
      </c>
      <c r="F155" s="6" t="inlineStr">
        <is>
          <t>M03-2 FRM-001; M03-5 §3.5; M03-6 §10. Public district = plantation district.</t>
        </is>
      </c>
    </row>
    <row r="156">
      <c r="A156" s="6" t="inlineStr">
        <is>
          <t>Farmer profile — simple mode (S09)</t>
        </is>
      </c>
      <c r="B156" s="6" t="inlineStr">
        <is>
          <t>Where are your trees? (district, state; 'Same as my village')</t>
        </is>
      </c>
      <c r="C156" s="6" t="inlineStr">
        <is>
          <t>Add</t>
        </is>
      </c>
      <c r="D156" s="6" t="inlineStr">
        <is>
          <t>profile.farm_profiles.district_code, region_code, country, village</t>
        </is>
      </c>
      <c r="E156" s="6" t="inlineStr">
        <is>
          <t>District public (switch); village private</t>
        </is>
      </c>
      <c r="F156" s="6" t="inlineStr">
        <is>
          <t>M03-2 FRM-001, FRM-002; M03-5 §6.1; M03-6 §10.</t>
        </is>
      </c>
    </row>
    <row r="157">
      <c r="A157" s="6" t="inlineStr">
        <is>
          <t>Farmer profile — simple mode (S09)</t>
        </is>
      </c>
      <c r="B157" s="6" t="inlineStr">
        <is>
          <t>How big is the land?</t>
        </is>
      </c>
      <c r="C157" s="6" t="inlineStr">
        <is>
          <t>Add</t>
        </is>
      </c>
      <c r="D157" s="6" t="inlineStr">
        <is>
          <t>profile.farm_profiles.area_value, area_unit_code</t>
        </is>
      </c>
      <c r="E157" s="6" t="inlineStr">
        <is>
          <t>Private</t>
        </is>
      </c>
      <c r="F157" s="6" t="inlineStr">
        <is>
          <t>M03-2 FRM-001; M03-5 §6.1; M03-6 §10.</t>
        </is>
      </c>
    </row>
    <row r="158">
      <c r="A158" s="6" t="inlineStr">
        <is>
          <t>Farmer profile — simple mode (S09)</t>
        </is>
      </c>
      <c r="B158" s="6" t="inlineStr">
        <is>
          <t>Which trees?</t>
        </is>
      </c>
      <c r="C158" s="6" t="inlineStr">
        <is>
          <t>Add</t>
        </is>
      </c>
      <c r="D158" s="6" t="inlineStr">
        <is>
          <t>profile.farm_profiles.species</t>
        </is>
      </c>
      <c r="E158" s="6" t="inlineStr">
        <is>
          <t>Public (switch)</t>
        </is>
      </c>
      <c r="F158" s="6" t="inlineStr">
        <is>
          <t>M03-2 FRM-002; M03-5 §6.1; M03-6 §10, §15.</t>
        </is>
      </c>
    </row>
    <row r="159">
      <c r="A159" s="6" t="inlineStr">
        <is>
          <t>Farmer profile — simple mode (S09)</t>
        </is>
      </c>
      <c r="B159" s="6" t="inlineStr">
        <is>
          <t>About how many trees?</t>
        </is>
      </c>
      <c r="C159" s="6" t="inlineStr">
        <is>
          <t>Add</t>
        </is>
      </c>
      <c r="D159" s="6" t="inlineStr">
        <is>
          <t>profile.farm_profiles.tree_count_min / tree_count_max</t>
        </is>
      </c>
      <c r="E159" s="6" t="inlineStr">
        <is>
          <t>Public as a range (switch)</t>
        </is>
      </c>
      <c r="F159" s="6" t="inlineStr">
        <is>
          <t>M03-2 FRM-002; M03-5 §6.1; M03-6 §10.</t>
        </is>
      </c>
    </row>
    <row r="160">
      <c r="A160" s="6" t="inlineStr">
        <is>
          <t>Farmer profile — simple mode (S09)</t>
        </is>
      </c>
      <c r="B160" s="6" t="inlineStr">
        <is>
          <t>When were they planted?</t>
        </is>
      </c>
      <c r="C160" s="6" t="inlineStr">
        <is>
          <t>Add</t>
        </is>
      </c>
      <c r="D160" s="6" t="inlineStr">
        <is>
          <t>profile.farm_profiles.planting_year_from / planting_year_to</t>
        </is>
      </c>
      <c r="E160" s="6" t="inlineStr">
        <is>
          <t>Public as age (switch)</t>
        </is>
      </c>
      <c r="F160" s="6" t="inlineStr">
        <is>
          <t>M03-2 FRM-002; M03-5 §6.1; M03-6 §10.</t>
        </is>
      </c>
    </row>
    <row r="161">
      <c r="A161" s="6" t="inlineStr">
        <is>
          <t>Farmer profile — simple mode (S09)</t>
        </is>
      </c>
      <c r="B161" s="6" t="inlineStr">
        <is>
          <t>Are they inoculated?</t>
        </is>
      </c>
      <c r="C161" s="6" t="inlineStr">
        <is>
          <t>Add</t>
        </is>
      </c>
      <c r="D161" s="6" t="inlineStr">
        <is>
          <t>profile.farm_profiles.inoculation_status, inoculation_method</t>
        </is>
      </c>
      <c r="E161" s="6" t="inlineStr">
        <is>
          <t>Private</t>
        </is>
      </c>
      <c r="F161" s="6" t="inlineStr">
        <is>
          <t>M03-2 FRM-001; M03-5 §6.1; M03-6 §10.</t>
        </is>
      </c>
    </row>
    <row r="162">
      <c r="A162" s="6" t="inlineStr">
        <is>
          <t>Farmer profile — simple mode (S09)</t>
        </is>
      </c>
      <c r="B162" s="6" t="inlineStr">
        <is>
          <t>Forest department number (if you have one)</t>
        </is>
      </c>
      <c r="C162" s="6" t="inlineStr">
        <is>
          <t>Add</t>
        </is>
      </c>
      <c r="D162" s="6" t="inlineStr">
        <is>
          <t>profile.farm_profiles.forest_reg_no_encrypted / forest_reg_no_hash / forest_reg_no_masked</t>
        </is>
      </c>
      <c r="E162" s="6" t="inlineStr">
        <is>
          <t>Private (Restricted)</t>
        </is>
      </c>
      <c r="F162" s="6" t="inlineStr">
        <is>
          <t>M03-2 FRM-001; M03-5 §6.1; M03-6 §10 (shown masked).</t>
        </is>
      </c>
    </row>
    <row r="163">
      <c r="A163" s="6" t="inlineStr">
        <is>
          <t>Farmer profile — simple mode (S09)</t>
        </is>
      </c>
      <c r="B163" s="6" t="inlineStr">
        <is>
          <t>Are you in an FPO?</t>
        </is>
      </c>
      <c r="C163" s="6" t="inlineStr">
        <is>
          <t>Add</t>
        </is>
      </c>
      <c r="D163" s="6" t="inlineStr">
        <is>
          <t>profile.fpo_memberships (source = farmer_named_fpo, fpo_profile_id)</t>
        </is>
      </c>
      <c r="E163" s="6" t="inlineStr">
        <is>
          <t>Private</t>
        </is>
      </c>
      <c r="F163" s="6" t="inlineStr">
        <is>
          <t>M03-5 §6.5; M03-6 §10.</t>
        </is>
      </c>
    </row>
    <row r="164">
      <c r="A164" s="6" t="inlineStr">
        <is>
          <t>Farmer profile — simple mode (S09)</t>
        </is>
      </c>
      <c r="B164" s="6" t="inlineStr">
        <is>
          <t>What is public (switch per fact)</t>
        </is>
      </c>
      <c r="C164" s="6" t="inlineStr">
        <is>
          <t>Add</t>
        </is>
      </c>
      <c r="D164" s="6" t="inlineStr">
        <is>
          <t>profile.farm_profiles.public_fields</t>
        </is>
      </c>
      <c r="E164" s="6" t="inlineStr">
        <is>
          <t>n/a</t>
        </is>
      </c>
      <c r="F164" s="6" t="inlineStr">
        <is>
          <t>M03-2 FRM-002; M03-5 §6.1; M03-6 §10.</t>
        </is>
      </c>
    </row>
    <row r="165">
      <c r="A165" s="6" t="inlineStr">
        <is>
          <t>Farmer profile — simple mode (S09)</t>
        </is>
      </c>
      <c r="B165" s="6" t="inlineStr">
        <is>
          <t>Farm map pin</t>
        </is>
      </c>
      <c r="C165" s="6" t="inlineStr">
        <is>
          <t>Add</t>
        </is>
      </c>
      <c r="D165" s="6" t="inlineStr">
        <is>
          <t>profile.farm_profiles.geo_point_encrypted</t>
        </is>
      </c>
      <c r="E165" s="6" t="inlineStr">
        <is>
          <t>Private (Restricted)</t>
        </is>
      </c>
      <c r="F165" s="6" t="inlineStr">
        <is>
          <t>M03-2 FRM-001; M03-5 §6.1; M03-6 §10.</t>
        </is>
      </c>
    </row>
    <row r="166">
      <c r="A166" s="6" t="inlineStr">
        <is>
          <t>Farmer profile — simple mode (S09)</t>
        </is>
      </c>
      <c r="B166" s="6" t="inlineStr">
        <is>
          <t>How to get verified (myself · field agent or FPO)</t>
        </is>
      </c>
      <c r="C166" s="6" t="inlineStr">
        <is>
          <t>Add</t>
        </is>
      </c>
      <c r="D166" s="6" t="inlineStr">
        <is>
          <t>profile.verification_cases.case_type (farmer_route_a / farmer_route_b)</t>
        </is>
      </c>
      <c r="E166" s="6" t="inlineStr">
        <is>
          <t>Private</t>
        </is>
      </c>
      <c r="F166" s="6" t="inlineStr">
        <is>
          <t>M03-5 §4.2; M03-6 §10.</t>
        </is>
      </c>
    </row>
    <row r="167">
      <c r="A167" s="6" t="inlineStr">
        <is>
          <t>Farmer profile — simple mode (S09)</t>
        </is>
      </c>
      <c r="B167" s="6" t="inlineStr">
        <is>
          <t>Land paper photo</t>
        </is>
      </c>
      <c r="C167" s="6" t="inlineStr">
        <is>
          <t>Add</t>
        </is>
      </c>
      <c r="D167" s="6" t="inlineStr">
        <is>
          <t>profile.verification_documents (slot_key = land_proof); profile.farm_profiles.land_proof_document_id, land_proof_valid_until</t>
        </is>
      </c>
      <c r="E167" s="6" t="inlineStr">
        <is>
          <t>Private</t>
        </is>
      </c>
      <c r="F167" s="6" t="inlineStr">
        <is>
          <t>M03-2 FRM-008; M03-5 §4.3, §6.1; M03-6 §10. Valid 36 months.</t>
        </is>
      </c>
    </row>
    <row r="168">
      <c r="A168" s="6" t="inlineStr">
        <is>
          <t>Farmer profile — simple mode (S09)</t>
        </is>
      </c>
      <c r="B168" s="6" t="inlineStr">
        <is>
          <t>Family-land declaration (community land)</t>
        </is>
      </c>
      <c r="C168" s="6" t="inlineStr">
        <is>
          <t>Add</t>
        </is>
      </c>
      <c r="D168" s="6" t="inlineStr">
        <is>
          <t>profile.compliance_declarations (declaration_type = family_land)</t>
        </is>
      </c>
      <c r="E168" s="6" t="inlineStr">
        <is>
          <t>Private</t>
        </is>
      </c>
      <c r="F168" s="6" t="inlineStr">
        <is>
          <t>M03-2 FRM-001; M03-5 §3.4; M03-6 §10.</t>
        </is>
      </c>
    </row>
    <row r="169">
      <c r="A169" s="6" t="inlineStr">
        <is>
          <t>Farmer profile — simple mode (S09)</t>
        </is>
      </c>
      <c r="B169" s="6" t="inlineStr">
        <is>
          <t>ID + selfie (route A)</t>
        </is>
      </c>
      <c r="C169" s="6" t="inlineStr">
        <is>
          <t>Add</t>
        </is>
      </c>
      <c r="D169" s="6" t="inlineStr">
        <is>
          <t>profile.identity_checks (subject_type = farmer) — see S06</t>
        </is>
      </c>
      <c r="E169" s="6" t="inlineStr">
        <is>
          <t>Private</t>
        </is>
      </c>
      <c r="F169" s="6" t="inlineStr">
        <is>
          <t>M03-5 §4.4; M03-6 §7, §10.</t>
        </is>
      </c>
    </row>
    <row r="170">
      <c r="A170" s="6" t="inlineStr">
        <is>
          <t>Farmer profile — simple mode (S09)</t>
        </is>
      </c>
      <c r="B170" s="6" t="inlineStr">
        <is>
          <t>Preferred language (Assamese / Bengali / Hindi)</t>
        </is>
      </c>
      <c r="C170" s="6" t="inlineStr">
        <is>
          <t>Add</t>
        </is>
      </c>
      <c r="D170" s="6" t="inlineStr">
        <is>
          <t>platform.user_preferences.language (app); identity.accounts.code_language (codes and calls; null = app language)</t>
        </is>
      </c>
      <c r="E170" s="6" t="inlineStr">
        <is>
          <t>Private</t>
        </is>
      </c>
      <c r="F170" s="6" t="inlineStr">
        <is>
          <t>M02-2 CHG-007, OTP-012; M01-5 §4.2; M02-5 §2.1; M02-6 §17.</t>
        </is>
      </c>
    </row>
    <row r="171">
      <c r="A171" s="6" t="inlineStr">
        <is>
          <t>Farmer profile — simple mode (S09)</t>
        </is>
      </c>
      <c r="B171" s="6" t="inlineStr">
        <is>
          <t>Time zone (Figma Preview: PUBLIC)</t>
        </is>
      </c>
      <c r="C171" s="6" t="inlineStr">
        <is>
          <t>Change (private)</t>
        </is>
      </c>
      <c r="D171" s="6" t="inlineStr">
        <is>
          <t>platform.user_preferences.time_zone</t>
        </is>
      </c>
      <c r="E171" s="6" t="inlineStr">
        <is>
          <t>Private</t>
        </is>
      </c>
      <c r="F171" s="6" t="inlineStr">
        <is>
          <t>M02-2 CHG-008; M01-5 §4.2; M02-6 §17.</t>
        </is>
      </c>
    </row>
    <row r="172">
      <c r="A172" s="6" t="inlineStr">
        <is>
          <t>Farmer profile — simple mode (S09)</t>
        </is>
      </c>
      <c r="B172" s="6" t="inlineStr">
        <is>
          <t>Working days · contact hours (Figma Preview: PUBLIC)</t>
        </is>
      </c>
      <c r="C172" s="6" t="inlineStr">
        <is>
          <t>Keep (decide)</t>
        </is>
      </c>
      <c r="D172" s="6" t="inlineStr">
        <is>
          <t>profile.profile_addresses.contact_hours (farmer's home row, address_type = home)</t>
        </is>
      </c>
      <c r="E172" s="6" t="inlineStr">
        <is>
          <t>Public ('Usually available') per LOC-008</t>
        </is>
      </c>
      <c r="F172" s="6" t="inlineStr">
        <is>
          <t>M03-2 LOC-008; M03-5 §3.5; M03-6 §10. §3.5 data level calls home rows Confidential — confirm.</t>
        </is>
      </c>
    </row>
    <row r="173">
      <c r="A173" s="6" t="inlineStr">
        <is>
          <t>Farmer profile — simple mode (S09)</t>
        </is>
      </c>
      <c r="B173" s="6" t="inlineStr">
        <is>
          <t>Legal name, DOB, address, pincode, typed ID fields (Figma farmer form)</t>
        </is>
      </c>
      <c r="C173" s="6" t="inlineStr">
        <is>
          <t>Remove</t>
        </is>
      </c>
      <c r="D173" s="6" t="inlineStr">
        <is>
          <t>NOT STORED (by design) as typed</t>
        </is>
      </c>
      <c r="E173" s="6" t="inlineStr">
        <is>
          <t>n/a</t>
        </is>
      </c>
      <c r="F173" s="6" t="inlineStr">
        <is>
          <t>Decisions 5a, 7a; M03-6 §10.</t>
        </is>
      </c>
    </row>
    <row r="174">
      <c r="A174" s="6" t="inlineStr">
        <is>
          <t>Farmer profile — simple mode (S09)</t>
        </is>
      </c>
      <c r="B174" s="6" t="inlineStr">
        <is>
          <t>Optional links step (skippable)</t>
        </is>
      </c>
      <c r="C174" s="6" t="inlineStr">
        <is>
          <t>Keep</t>
        </is>
      </c>
      <c r="D174" s="6" t="inlineStr">
        <is>
          <t>profile.profile_links</t>
        </is>
      </c>
      <c r="E174" s="6" t="inlineStr">
        <is>
          <t>Public after verification, ownership check and safe scan</t>
        </is>
      </c>
      <c r="F174" s="6" t="inlineStr">
        <is>
          <t>Decision 7c; M03-2 PRF-009; M03-5 §8.2; M03-6 §10 Step 4.</t>
        </is>
      </c>
    </row>
    <row r="175">
      <c r="A175" s="6" t="inlineStr">
        <is>
          <t>Inoculation Provider · Your Capability</t>
        </is>
      </c>
      <c r="B175" s="6" t="inlineStr">
        <is>
          <t>Inoculation techniques offered</t>
        </is>
      </c>
      <c r="C175" s="6" t="inlineStr">
        <is>
          <t>Keep</t>
        </is>
      </c>
      <c r="D175" s="6" t="inlineStr">
        <is>
          <t>profile.service_capabilities.techniques</t>
        </is>
      </c>
      <c r="E175" s="6" t="inlineStr">
        <is>
          <t>Public</t>
        </is>
      </c>
      <c r="F175" s="6" t="inlineStr">
        <is>
          <t>M03-2 TRS-014, TRS-015; M03-5 §7.3; M03-6 §12.1.</t>
        </is>
      </c>
    </row>
    <row r="176">
      <c r="A176" s="6" t="inlineStr">
        <is>
          <t>Inoculation Provider · Your Capability</t>
        </is>
      </c>
      <c r="B176" s="6" t="inlineStr">
        <is>
          <t>Species covered</t>
        </is>
      </c>
      <c r="C176" s="6" t="inlineStr">
        <is>
          <t>Keep</t>
        </is>
      </c>
      <c r="D176" s="6" t="inlineStr">
        <is>
          <t>profile.service_capabilities.species</t>
        </is>
      </c>
      <c r="E176" s="6" t="inlineStr">
        <is>
          <t>Public</t>
        </is>
      </c>
      <c r="F176" s="6" t="inlineStr">
        <is>
          <t>M03-2 TRS-014, TRS-015; M03-5 §7.3; M03-6 §12.1.</t>
        </is>
      </c>
    </row>
    <row r="177">
      <c r="A177" s="6" t="inlineStr">
        <is>
          <t>Inoculation Provider · Your Capability</t>
        </is>
      </c>
      <c r="B177" s="6" t="inlineStr">
        <is>
          <t>Geographic coverage</t>
        </is>
      </c>
      <c r="C177" s="6" t="inlineStr">
        <is>
          <t>Keep</t>
        </is>
      </c>
      <c r="D177" s="6" t="inlineStr">
        <is>
          <t>profile.service_capabilities.coverage_areas</t>
        </is>
      </c>
      <c r="E177" s="6" t="inlineStr">
        <is>
          <t>Public</t>
        </is>
      </c>
      <c r="F177" s="6" t="inlineStr">
        <is>
          <t>M03-2 TRS-014, TRS-015; M03-5 §7.3; M03-6 §12.1.</t>
        </is>
      </c>
    </row>
    <row r="178">
      <c r="A178" s="6" t="inlineStr">
        <is>
          <t>Inoculation Provider · Your Capability</t>
        </is>
      </c>
      <c r="B178" s="6" t="inlineStr">
        <is>
          <t>Service radius</t>
        </is>
      </c>
      <c r="C178" s="6" t="inlineStr">
        <is>
          <t>Keep</t>
        </is>
      </c>
      <c r="D178" s="6" t="inlineStr">
        <is>
          <t>profile.service_capabilities.service_radius_km</t>
        </is>
      </c>
      <c r="E178" s="6" t="inlineStr">
        <is>
          <t>Private</t>
        </is>
      </c>
      <c r="F178" s="6" t="inlineStr">
        <is>
          <t>M03-2 TRS-014; M03-5 §7.3; M03-6 §12.1.</t>
        </is>
      </c>
    </row>
    <row r="179">
      <c r="A179" s="6" t="inlineStr">
        <is>
          <t>Inoculation Provider · Your Capability</t>
        </is>
      </c>
      <c r="B179" s="6" t="inlineStr">
        <is>
          <t>Capacity per month</t>
        </is>
      </c>
      <c r="C179" s="6" t="inlineStr">
        <is>
          <t>Keep</t>
        </is>
      </c>
      <c r="D179" s="6" t="inlineStr">
        <is>
          <t>profile.service_capabilities.capacity_per_month (exact) + capacity_band</t>
        </is>
      </c>
      <c r="E179" s="6" t="inlineStr">
        <is>
          <t>Public as a range; exact figure private</t>
        </is>
      </c>
      <c r="F179" s="6" t="inlineStr">
        <is>
          <t>M03-2 TRS-014, TRS-015; M03-5 §7.3; M03-6 §3.3, §12.1.</t>
        </is>
      </c>
    </row>
    <row r="180">
      <c r="A180" s="6" t="inlineStr">
        <is>
          <t>Inoculation Provider · Your Capability</t>
        </is>
      </c>
      <c r="B180" s="6" t="inlineStr">
        <is>
          <t>Capacity (trees treated)</t>
        </is>
      </c>
      <c r="C180" s="6" t="inlineStr">
        <is>
          <t>Keep</t>
        </is>
      </c>
      <c r="D180" s="6" t="inlineStr">
        <is>
          <t>profile.service_capabilities.trees_treated_total + trees_treated_band</t>
        </is>
      </c>
      <c r="E180" s="6" t="inlineStr">
        <is>
          <t>Public as a range; exact figure private</t>
        </is>
      </c>
      <c r="F180" s="6" t="inlineStr">
        <is>
          <t>M03-2 TRS-014, TRS-015; M03-5 §7.3; M03-6 §12.1, §15.</t>
        </is>
      </c>
    </row>
    <row r="181">
      <c r="A181" s="6" t="inlineStr">
        <is>
          <t>Inoculation Provider · Your Capability</t>
        </is>
      </c>
      <c r="B181" s="6" t="inlineStr">
        <is>
          <t>Service notes</t>
        </is>
      </c>
      <c r="C181" s="6" t="inlineStr">
        <is>
          <t>Keep</t>
        </is>
      </c>
      <c r="D181" s="6" t="inlineStr">
        <is>
          <t>profile.service_capabilities.service_notes</t>
        </is>
      </c>
      <c r="E181" s="6" t="inlineStr">
        <is>
          <t>Public</t>
        </is>
      </c>
      <c r="F181" s="6" t="inlineStr">
        <is>
          <t>M03-2 TRS-014; M03-5 §7.3; M03-6 §12.1. ≤500 chars.</t>
        </is>
      </c>
    </row>
    <row r="182">
      <c r="A182" s="6" t="inlineStr">
        <is>
          <t>Nursery</t>
        </is>
      </c>
      <c r="B182" s="6" t="inlineStr">
        <is>
          <t>Nursery licence (state where required)</t>
        </is>
      </c>
      <c r="C182" s="6" t="inlineStr">
        <is>
          <t>Add</t>
        </is>
      </c>
      <c r="D182" s="6" t="inlineStr">
        <is>
          <t>profile.verification_documents (slot_key = nursery_licence, number_encrypted / number_hash / number_masked, issuing_region, expiry_date) via profile.document_checklists (region_code, condition_key = state_requires)</t>
        </is>
      </c>
      <c r="E182" s="6" t="inlineStr">
        <is>
          <t>Private</t>
        </is>
      </c>
      <c r="F182" s="6" t="inlineStr">
        <is>
          <t>M03-2 DOC-005, DOC-026; M03-5 §4.1, §4.3; M03-6 §8.1.</t>
        </is>
      </c>
    </row>
    <row r="183">
      <c r="A183" s="6" t="inlineStr">
        <is>
          <t>Nursery</t>
        </is>
      </c>
      <c r="B183" s="6" t="inlineStr">
        <is>
          <t>Species you grow</t>
        </is>
      </c>
      <c r="C183" s="6" t="inlineStr">
        <is>
          <t>Add</t>
        </is>
      </c>
      <c r="D183" s="6" t="inlineStr">
        <is>
          <t>profile.service_capabilities.species</t>
        </is>
      </c>
      <c r="E183" s="6" t="inlineStr">
        <is>
          <t>Public</t>
        </is>
      </c>
      <c r="F183" s="6" t="inlineStr">
        <is>
          <t>M03-2 TRS-014; M03-5 §7.3; M03-6 §12.1.</t>
        </is>
      </c>
    </row>
    <row r="184">
      <c r="A184" s="6" t="inlineStr">
        <is>
          <t>Nursery</t>
        </is>
      </c>
      <c r="B184" s="6" t="inlineStr">
        <is>
          <t>Seedlings per year</t>
        </is>
      </c>
      <c r="C184" s="6" t="inlineStr">
        <is>
          <t>Add</t>
        </is>
      </c>
      <c r="D184" s="6" t="inlineStr">
        <is>
          <t>profile.service_capabilities.seedlings_per_year + seedlings_band</t>
        </is>
      </c>
      <c r="E184" s="6" t="inlineStr">
        <is>
          <t>Public as a range; exact figure private</t>
        </is>
      </c>
      <c r="F184" s="6" t="inlineStr">
        <is>
          <t>M03-2 TRS-014, TRS-015; M03-5 §7.3; M03-6 §12.1.</t>
        </is>
      </c>
    </row>
    <row r="185">
      <c r="A185" s="6" t="inlineStr">
        <is>
          <t>Nursery</t>
        </is>
      </c>
      <c r="B185" s="6" t="inlineStr">
        <is>
          <t>Seedling age (months)</t>
        </is>
      </c>
      <c r="C185" s="6" t="inlineStr">
        <is>
          <t>Add</t>
        </is>
      </c>
      <c r="D185" s="6" t="inlineStr">
        <is>
          <t>profile.profile_interests.attributes (Nursery seedling age range)</t>
        </is>
      </c>
      <c r="E185" s="6" t="inlineStr">
        <is>
          <t>Public</t>
        </is>
      </c>
      <c r="F185" s="6" t="inlineStr">
        <is>
          <t>M03-2 PRF-005; M03-5 §8.1; M03-6 §12.</t>
        </is>
      </c>
    </row>
    <row r="186">
      <c r="A186" s="6" t="inlineStr">
        <is>
          <t>Nursery</t>
        </is>
      </c>
      <c r="B186" s="6" t="inlineStr">
        <is>
          <t>Nursery-only categories</t>
        </is>
      </c>
      <c r="C186" s="6" t="inlineStr">
        <is>
          <t>Add</t>
        </is>
      </c>
      <c r="D186" s="6" t="inlineStr">
        <is>
          <t>profile.profile_interests (direction = offer, top_category_code)</t>
        </is>
      </c>
      <c r="E186" s="6" t="inlineStr">
        <is>
          <t>Public</t>
        </is>
      </c>
      <c r="F186" s="6" t="inlineStr">
        <is>
          <t>Decision 21; M03-5 §8.1. Nursery-only list (PRD-TAX-005) not named in M03-6.</t>
        </is>
      </c>
    </row>
    <row r="187">
      <c r="A187" s="6" t="inlineStr">
        <is>
          <t>Company extras</t>
        </is>
      </c>
      <c r="B187" s="6" t="inlineStr">
        <is>
          <t>Company number (CIN / LLPIN) — required</t>
        </is>
      </c>
      <c r="C187" s="6" t="inlineStr">
        <is>
          <t>Add</t>
        </is>
      </c>
      <c r="D187" s="6" t="inlineStr">
        <is>
          <t>profile.business_registrations (registration_type = cin / llpin); rule in profile.country_id_rules (requirement, applies_to_forms)</t>
        </is>
      </c>
      <c r="E187" s="6" t="inlineStr">
        <is>
          <t>Public masked + 'active' when verified; full number private</t>
        </is>
      </c>
      <c r="F187" s="6" t="inlineStr">
        <is>
          <t>M03-5 §3.1, §3.2. M03-2 §7.1 also accepts co-op or GSTIN for Company — not 'required'.</t>
        </is>
      </c>
    </row>
    <row r="188">
      <c r="A188" s="6" t="inlineStr">
        <is>
          <t>Company extras</t>
        </is>
      </c>
      <c r="B188" s="6" t="inlineStr">
        <is>
          <t>Authority letter / board resolution</t>
        </is>
      </c>
      <c r="C188" s="6" t="inlineStr">
        <is>
          <t>Add</t>
        </is>
      </c>
      <c r="D188" s="6" t="inlineStr">
        <is>
          <t>profile.verification_documents (slot_key = proof_of_authority) ← profile.authorised_persons.authority_document_id</t>
        </is>
      </c>
      <c r="E188" s="6" t="inlineStr">
        <is>
          <t>Private</t>
        </is>
      </c>
      <c r="F188" s="6" t="inlineStr">
        <is>
          <t>M03-2 BUS-010; M03-5 §3.3, §4.3; M03-6 §5.3.</t>
        </is>
      </c>
    </row>
    <row r="189">
      <c r="A189" s="6" t="inlineStr">
        <is>
          <t>Company extras</t>
        </is>
      </c>
      <c r="B189" s="6" t="inlineStr">
        <is>
          <t>We are a Co-operative / FPO</t>
        </is>
      </c>
      <c r="C189" s="6" t="inlineStr">
        <is>
          <t>Add</t>
        </is>
      </c>
      <c r="D189" s="6" t="inlineStr">
        <is>
          <t>profile.profiles.is_cooperative; profile.business_registrations (registration_type = coop_registration); slot cooperative_registration; profile.badges (badge_type = cooperative_fpo)</t>
        </is>
      </c>
      <c r="E189" s="6" t="inlineStr">
        <is>
          <t>Badge public after staff approval</t>
        </is>
      </c>
      <c r="F189" s="6" t="inlineStr">
        <is>
          <t>M03-2 ROL-007, TRS-004; M03-5 §2.1, §3.2, §4.6; M03-6 §5.2, §15.</t>
        </is>
      </c>
    </row>
    <row r="190">
      <c r="A190" s="6" t="inlineStr">
        <is>
          <t>Company extras</t>
        </is>
      </c>
      <c r="B190" s="6" t="inlineStr">
        <is>
          <t>Registered address proof</t>
        </is>
      </c>
      <c r="C190" s="6" t="inlineStr">
        <is>
          <t>Add</t>
        </is>
      </c>
      <c r="D190" s="6" t="inlineStr">
        <is>
          <t>profile.verification_documents (slot_key = address_proof)</t>
        </is>
      </c>
      <c r="E190" s="6" t="inlineStr">
        <is>
          <t>Private</t>
        </is>
      </c>
      <c r="F190" s="6" t="inlineStr">
        <is>
          <t>M03-5 §4.3; M03-6 §9.</t>
        </is>
      </c>
    </row>
    <row r="191">
      <c r="A191" s="6" t="inlineStr">
        <is>
          <t>Company extras</t>
        </is>
      </c>
      <c r="B191" s="6" t="inlineStr">
        <is>
          <t>Owners with 25 % or more / 'No one owns 25 % or more'</t>
        </is>
      </c>
      <c r="C191" s="6" t="inlineStr">
        <is>
          <t>Add (enhanced check S08)</t>
        </is>
      </c>
      <c r="D191" s="6" t="inlineStr">
        <is>
          <t>profile.beneficial_owners (full_name, share_percent, nationality); profile.enhanced_checks.no_major_owner_declared, senior_manager_name; profile.compliance_declarations (declaration_type = no_major_owner)</t>
        </is>
      </c>
      <c r="E191" s="6" t="inlineStr">
        <is>
          <t>Private</t>
        </is>
      </c>
      <c r="F191" s="6" t="inlineStr">
        <is>
          <t>M03-2 ENH-002; M03-5 §3.4, §5.1, §5.2; M03-6 §9.</t>
        </is>
      </c>
    </row>
    <row r="192">
      <c r="A192" s="6" t="inlineStr">
        <is>
          <t>Company extras</t>
        </is>
      </c>
      <c r="B192" s="6" t="inlineStr">
        <is>
          <t>Bank check</t>
        </is>
      </c>
      <c r="C192" s="6" t="inlineStr">
        <is>
          <t>Add (enhanced check S08)</t>
        </is>
      </c>
      <c r="D192" s="6" t="inlineStr">
        <is>
          <t>profile.enhanced_checks.bank_check_result, bank_name, bank_consent_id</t>
        </is>
      </c>
      <c r="E192" s="6" t="inlineStr">
        <is>
          <t>Private</t>
        </is>
      </c>
      <c r="F192" s="6" t="inlineStr">
        <is>
          <t>M03-5 §5.1; M03-6 §9. Account number and IFSC never stored.</t>
        </is>
      </c>
    </row>
    <row r="193">
      <c r="A193" s="12" t="inlineStr">
        <is>
          <t>Badges</t>
        </is>
      </c>
      <c r="B193" s="12" t="inlineStr">
        <is>
          <t>Export permitted (listing badge)</t>
        </is>
      </c>
      <c r="C193" s="12" t="inlineStr">
        <is>
          <t>Add</t>
        </is>
      </c>
      <c r="D193" s="12" t="inlineStr">
        <is>
          <t>STILL MISSING — listing badge owned by M05 / M06 (not designed yet); M03 supplies the IEC (business_registrations, registration_type = iec)</t>
        </is>
      </c>
      <c r="E193" s="12" t="inlineStr">
        <is>
          <t>Public (on listings)</t>
        </is>
      </c>
      <c r="F193" s="12" t="inlineStr">
        <is>
          <t>PRD-ORG-013; M03-2 §13.1; M03-6 §15.</t>
        </is>
      </c>
    </row>
    <row r="194">
      <c r="A194" s="6" t="inlineStr">
        <is>
          <t>Badges</t>
        </is>
      </c>
      <c r="B194" s="6" t="inlineStr">
        <is>
          <t>GST registered</t>
        </is>
      </c>
      <c r="C194" s="6" t="inlineStr">
        <is>
          <t>Add</t>
        </is>
      </c>
      <c r="D194" s="6" t="inlineStr">
        <is>
          <t>profile.badges (badge_type = gst_registered, source_ref → business_registrations)</t>
        </is>
      </c>
      <c r="E194" s="6" t="inlineStr">
        <is>
          <t>Public</t>
        </is>
      </c>
      <c r="F194" s="6" t="inlineStr">
        <is>
          <t>M03-2 TRS-012; M03-5 §4.6; M03-6 §15.</t>
        </is>
      </c>
    </row>
    <row r="195">
      <c r="A195" s="6" t="inlineStr">
        <is>
          <t>Badges</t>
        </is>
      </c>
      <c r="B195" s="6" t="inlineStr">
        <is>
          <t>Trusted (tier)</t>
        </is>
      </c>
      <c r="C195" s="6" t="inlineStr">
        <is>
          <t>Add (R2)</t>
        </is>
      </c>
      <c r="D195" s="6" t="inlineStr">
        <is>
          <t>profile.badges (badge_type = trusted, source_ref → M10 trust record)</t>
        </is>
      </c>
      <c r="E195" s="6" t="inlineStr">
        <is>
          <t>Public (R2)</t>
        </is>
      </c>
      <c r="F195" s="6" t="inlineStr">
        <is>
          <t>M03-2 TRS-013; M03-5 §4.6; M03-6 §15. Rules in M10.</t>
        </is>
      </c>
    </row>
    <row r="196">
      <c r="A196" s="6" t="inlineStr">
        <is>
          <t>Badges</t>
        </is>
      </c>
      <c r="B196" s="6" t="inlineStr">
        <is>
          <t>'Identity verified' badge wording</t>
        </is>
      </c>
      <c r="C196" s="6" t="inlineStr">
        <is>
          <t>Change</t>
        </is>
      </c>
      <c r="D196" s="6" t="inlineStr">
        <is>
          <t>profile.badges (business_verified / verified_farmer / verified_buyer)</t>
        </is>
      </c>
      <c r="E196" s="6" t="inlineStr">
        <is>
          <t>Public</t>
        </is>
      </c>
      <c r="F196" s="6" t="inlineStr">
        <is>
          <t>M03-6 §2, §8.2, §15.</t>
        </is>
      </c>
    </row>
    <row r="197">
      <c r="A197" s="12" t="inlineStr">
        <is>
          <t>Badges</t>
        </is>
      </c>
      <c r="B197" s="12" t="inlineStr">
        <is>
          <t>Verified Origin · Tree Registration · Lab Tested</t>
        </is>
      </c>
      <c r="C197" s="12" t="inlineStr">
        <is>
          <t>Keep (discuss in Module 6)</t>
        </is>
      </c>
      <c r="D197" s="12" t="inlineStr">
        <is>
          <t>STILL MISSING — to be decided in Module 6</t>
        </is>
      </c>
      <c r="E197" s="12" t="inlineStr">
        <is>
          <t>Public (if added)</t>
        </is>
      </c>
      <c r="F197" s="12" t="inlineStr">
        <is>
          <t>Decision 8; PRD §15 open item 28; M03-2 §13.1.</t>
        </is>
      </c>
    </row>
  </sheetData>
  <autoFilter ref="A1:F19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26" customWidth="1" min="1" max="1"/>
    <col width="28" customWidth="1" min="2" max="2"/>
    <col width="40" customWidth="1" min="3" max="3"/>
    <col width="40" customWidth="1" min="4" max="4"/>
    <col width="30" customWidth="1" min="5" max="5"/>
    <col width="45" customWidth="1" min="6" max="6"/>
    <col width="55" customWidth="1" min="7" max="7"/>
  </cols>
  <sheetData>
    <row r="1">
      <c r="A1" s="5" t="inlineStr">
        <is>
          <t>Screen</t>
        </is>
      </c>
      <c r="B1" s="5" t="inlineStr">
        <is>
          <t>Field</t>
        </is>
      </c>
      <c r="C1" s="5" t="inlineStr">
        <is>
          <t>Why it has no home</t>
        </is>
      </c>
      <c r="D1" s="5" t="inlineStr">
        <is>
          <t>Suggested table/column</t>
        </is>
      </c>
      <c r="E1" s="5" t="inlineStr">
        <is>
          <t>Decision needed</t>
        </is>
      </c>
      <c r="F1" s="5" t="inlineStr">
        <is>
          <t>Decision (24 Sep 2026)</t>
        </is>
      </c>
      <c r="G1" s="5" t="inlineStr">
        <is>
          <t>Status in documents (24 Sep)</t>
        </is>
      </c>
    </row>
    <row r="2">
      <c r="A2" s="6" t="inlineStr">
        <is>
          <t>Wizard 1 · Profile info / Wizard 5 · Locations</t>
        </is>
      </c>
      <c r="B2" s="6" t="inlineStr">
        <is>
          <t>Contact hours</t>
        </is>
      </c>
      <c r="C2" s="6" t="inlineStr">
        <is>
          <t>No hours column on profiles or profile_addresses</t>
        </is>
      </c>
      <c r="D2" s="6" t="inlineStr">
        <is>
          <t>profile.profile_addresses.contact_hours (jsonb: days + from/to, time zone from user_preferences)</t>
        </is>
      </c>
      <c r="E2" s="6" t="inlineStr">
        <is>
          <t>Keep at all? Public or private?</t>
        </is>
      </c>
      <c r="F2" s="6" t="inlineStr">
        <is>
          <t>G2: store per location, public (“Usually available”).</t>
        </is>
      </c>
      <c r="G2" s="6" t="inlineStr">
        <is>
          <t>Done — profile.profile_addresses.contact_hours (per location)</t>
        </is>
      </c>
    </row>
    <row r="3">
      <c r="A3" s="6" t="inlineStr">
        <is>
          <t>Farmer profile (S09) preview</t>
        </is>
      </c>
      <c r="B3" s="6" t="inlineStr">
        <is>
          <t>Working days</t>
        </is>
      </c>
      <c r="C3" s="6" t="inlineStr">
        <is>
          <t>Same as contact hours</t>
        </is>
      </c>
      <c r="D3" s="6" t="inlineStr">
        <is>
          <t>Same jsonb as contact_hours</t>
        </is>
      </c>
      <c r="E3" s="6" t="inlineStr">
        <is>
          <t>Keep for farmers? Private?</t>
        </is>
      </c>
      <c r="F3" s="6" t="inlineStr">
        <is>
          <t>G2: part of contact hours per location; optional for farmers.</t>
        </is>
      </c>
      <c r="G3" s="6" t="inlineStr">
        <is>
          <t>Done — profile.profile_addresses.contact_hours (farmer's home row, address_type = home)</t>
        </is>
      </c>
    </row>
    <row r="4">
      <c r="A4" s="6" t="inlineStr">
        <is>
          <t>Wizard 5 · Locations</t>
        </is>
      </c>
      <c r="B4" s="6" t="inlineStr">
        <is>
          <t>Site photos (2)</t>
        </is>
      </c>
      <c r="C4" s="6" t="inlineStr">
        <is>
          <t>profile_addresses has no photo column; platform.files.purpose has no site value</t>
        </is>
      </c>
      <c r="D4" s="6" t="inlineStr">
        <is>
          <t>profile.profile_addresses.photo_file_ids uuid[] (ref) + files.purpose 'site_photo'</t>
        </is>
      </c>
      <c r="E4" s="6" t="inlineStr">
        <is>
          <t>Public? Needs face/home blur like farm_visits?</t>
        </is>
      </c>
      <c r="F4" s="6" t="inlineStr">
        <is>
          <t>G3: keep; public after photo safety review.</t>
        </is>
      </c>
      <c r="G4" s="6" t="inlineStr">
        <is>
          <t>Done — profile.profile_addresses.photo_file_ids → platform.files (purpose = location_photo)</t>
        </is>
      </c>
    </row>
    <row r="5">
      <c r="A5" s="6" t="inlineStr">
        <is>
          <t>Wizard 5 · Locations</t>
        </is>
      </c>
      <c r="B5" s="6" t="inlineStr">
        <is>
          <t>Site video (3 MB)</t>
        </is>
      </c>
      <c r="C5" s="6" t="inlineStr">
        <is>
          <t>No video link on profiles or profile_addresses; files.purpose only listing_video</t>
        </is>
      </c>
      <c r="D5" s="6" t="inlineStr">
        <is>
          <t>profile.profile_addresses.video_file_id (ref) + platform.video_assets review</t>
        </is>
      </c>
      <c r="E5" s="6" t="inlineStr">
        <is>
          <t>Keep? 3 MB vs 60 s limit; public?</t>
        </is>
      </c>
      <c r="F5" s="6" t="inlineStr">
        <is>
          <t>G3: keep; public after review.</t>
        </is>
      </c>
      <c r="G5" s="6" t="inlineStr">
        <is>
          <t>Done — profile.profile_addresses.video_file_id → platform.files (purpose = location_video); platform.video_assets</t>
        </is>
      </c>
    </row>
    <row r="6">
      <c r="A6" s="6" t="inlineStr">
        <is>
          <t>Wizard 2 · Business details</t>
        </is>
      </c>
      <c r="B6" s="6" t="inlineStr">
        <is>
          <t>Export licence / IEC</t>
        </is>
      </c>
      <c r="C6" s="6" t="inlineStr">
        <is>
          <t>country_id_rules.id_type has no iec</t>
        </is>
      </c>
      <c r="D6" s="6" t="inlineStr">
        <is>
          <t>business_registrations with new id_type 'iec' (or a document_checklists slot 'export_licence')</t>
        </is>
      </c>
      <c r="E6" s="6" t="inlineStr">
        <is>
          <t>Needed for the Export permitted badge?</t>
        </is>
      </c>
      <c r="F6" s="6" t="inlineStr">
        <is>
          <t>G4: new registration type (India), encrypted and masked; required only for exporters.</t>
        </is>
      </c>
      <c r="G6" s="6" t="inlineStr">
        <is>
          <t>Done — profile.business_registrations (registration_type = iec; number_encrypted, number_hash, number_masked)</t>
        </is>
      </c>
    </row>
    <row r="7">
      <c r="A7" s="6" t="inlineStr">
        <is>
          <t>Wizard 4 · Documents</t>
        </is>
      </c>
      <c r="B7" s="6" t="inlineStr">
        <is>
          <t>Optional extra document</t>
        </is>
      </c>
      <c r="C7" s="6" t="inlineStr">
        <is>
          <t>document_checklists.slot_key has no 'other' slot</t>
        </is>
      </c>
      <c r="D7" s="6" t="inlineStr">
        <is>
          <t>Add slot_key 'other' (requirement = optional)</t>
        </is>
      </c>
      <c r="E7" s="6" t="inlineStr">
        <is>
          <t>Confirm allowed types and max count</t>
        </is>
      </c>
      <c r="F7" s="6" t="inlineStr">
        <is>
          <t>G9: “Other document” slot; team reviews and can add the type to the country/role checklist.</t>
        </is>
      </c>
      <c r="G7" s="6" t="inlineStr">
        <is>
          <t>Done — profile.verification_documents (slot_key = other, other_title, file_ids); slot in profile.document_checklists (slot_key = other)</t>
        </is>
      </c>
    </row>
    <row r="8">
      <c r="A8" s="6" t="inlineStr">
        <is>
          <t>Wizard 2 · Business details</t>
        </is>
      </c>
      <c r="B8" s="6" t="inlineStr">
        <is>
          <t>Name-mismatch note</t>
        </is>
      </c>
      <c r="C8" s="6" t="inlineStr">
        <is>
          <t>No column for the user's explanation</t>
        </is>
      </c>
      <c r="D8" s="6" t="inlineStr">
        <is>
          <t>profile.business_registrations.name_mismatch_note (or verification_cases.user_note)</t>
        </is>
      </c>
      <c r="E8" s="6" t="inlineStr">
        <is>
          <t>Where the note lives</t>
        </is>
      </c>
      <c r="F8" s="6" t="inlineStr">
        <is>
          <t>G8: private note + optional document on the business registration.</t>
        </is>
      </c>
      <c r="G8" s="6" t="inlineStr">
        <is>
          <t>Done — profile.business_registrations.name_mismatch_note, name_mismatch_document_id → profile.verification_documents</t>
        </is>
      </c>
    </row>
    <row r="9">
      <c r="A9" s="6" t="inlineStr">
        <is>
          <t>Farmer profile (S09)</t>
        </is>
      </c>
      <c r="B9" s="6" t="inlineStr">
        <is>
          <t>Public display name</t>
        </is>
      </c>
      <c r="C9" s="6" t="inlineStr">
        <is>
          <t>profiles.person_legal_name is Confidential; trading_name is for stores</t>
        </is>
      </c>
      <c r="D9" s="6" t="inlineStr">
        <is>
          <t>profile.profiles.public_display_name (or allow trading_name for farmers)</t>
        </is>
      </c>
      <c r="E9" s="6" t="inlineStr">
        <is>
          <t>Which name is public</t>
        </is>
      </c>
      <c r="F9" s="6" t="inlineStr">
        <is>
          <t>G5: add display name (public).</t>
        </is>
      </c>
      <c r="G9" s="6" t="inlineStr">
        <is>
          <t>Done — profile.profiles.display_name</t>
        </is>
      </c>
    </row>
    <row r="10">
      <c r="A10" s="6" t="inlineStr">
        <is>
          <t>Farmer profile (S09)</t>
        </is>
      </c>
      <c r="B10" s="6" t="inlineStr">
        <is>
          <t>Home village</t>
        </is>
      </c>
      <c r="C10" s="6" t="inlineStr">
        <is>
          <t>profile_addresses has no village column</t>
        </is>
      </c>
      <c r="D10" s="6" t="inlineStr">
        <is>
          <t>profile.profile_addresses.village (or rule: city / landmark)</t>
        </is>
      </c>
      <c r="E10" s="6" t="inlineStr">
        <is>
          <t>Minor — naming rule</t>
        </is>
      </c>
      <c r="F10" s="6" t="inlineStr">
        <is>
          <t>G5: add village to the private home address.</t>
        </is>
      </c>
      <c r="G10" s="6" t="inlineStr">
        <is>
          <t>Done — profile.profile_addresses.village (address_type = home), private</t>
        </is>
      </c>
    </row>
    <row r="11">
      <c r="A11" s="6" t="inlineStr">
        <is>
          <t>Inoculation · Your Capability</t>
        </is>
      </c>
      <c r="B11" s="6" t="inlineStr">
        <is>
          <t>Species covered</t>
        </is>
      </c>
      <c r="C11" s="6" t="inlineStr">
        <is>
          <t>attributes keys for Inoculation list method, regions, trees/month only</t>
        </is>
      </c>
      <c r="D11" s="6" t="inlineStr">
        <is>
          <t>profile_interests.attributes key 'species' (document in M03-5 §8.1)</t>
        </is>
      </c>
      <c r="E11" s="6" t="inlineStr">
        <is>
          <t>Confirm list</t>
        </is>
      </c>
      <c r="F11" s="6" t="inlineStr">
        <is>
          <t>G6: new capability table.</t>
        </is>
      </c>
      <c r="G11" s="6" t="inlineStr">
        <is>
          <t>Done — profile.service_capabilities.species</t>
        </is>
      </c>
    </row>
    <row r="12">
      <c r="A12" s="6" t="inlineStr">
        <is>
          <t>Inoculation · Your Capability</t>
        </is>
      </c>
      <c r="B12" s="6" t="inlineStr">
        <is>
          <t>Service radius</t>
        </is>
      </c>
      <c r="C12" s="6" t="inlineStr">
        <is>
          <t>No key or column</t>
        </is>
      </c>
      <c r="D12" s="6" t="inlineStr">
        <is>
          <t>profile_interests.attributes key 'service_radius_km'</t>
        </is>
      </c>
      <c r="E12" s="6" t="inlineStr">
        <is>
          <t>Private?</t>
        </is>
      </c>
      <c r="F12" s="6" t="inlineStr">
        <is>
          <t>G6: new capability table; private (G7).</t>
        </is>
      </c>
      <c r="G12" s="6" t="inlineStr">
        <is>
          <t>Done — profile.service_capabilities.service_radius_km</t>
        </is>
      </c>
    </row>
    <row r="13">
      <c r="A13" s="6" t="inlineStr">
        <is>
          <t>Inoculation · Your Capability</t>
        </is>
      </c>
      <c r="B13" s="6" t="inlineStr">
        <is>
          <t>Capacity (trees treated)</t>
        </is>
      </c>
      <c r="C13" s="6" t="inlineStr">
        <is>
          <t>No key; only trees per month</t>
        </is>
      </c>
      <c r="D13" s="6" t="inlineStr">
        <is>
          <t>profile_interests.attributes key 'trees_treated_total'</t>
        </is>
      </c>
      <c r="E13" s="6" t="inlineStr">
        <is>
          <t>Total or per month? Public as range?</t>
        </is>
      </c>
      <c r="F13" s="6" t="inlineStr">
        <is>
          <t>G6/G7: new capability table; public as a range.</t>
        </is>
      </c>
      <c r="G13" s="6" t="inlineStr">
        <is>
          <t>Done — profile.service_capabilities.trees_treated_total + trees_treated_band (public as a range)</t>
        </is>
      </c>
    </row>
    <row r="14">
      <c r="A14" s="6" t="inlineStr">
        <is>
          <t>Inoculation · Your Capability</t>
        </is>
      </c>
      <c r="B14" s="6" t="inlineStr">
        <is>
          <t>Service notes</t>
        </is>
      </c>
      <c r="C14" s="6" t="inlineStr">
        <is>
          <t>No key or column</t>
        </is>
      </c>
      <c r="D14" s="6" t="inlineStr">
        <is>
          <t>profile_interests.attributes key 'service_notes' (translatable via profile_translations.field)</t>
        </is>
      </c>
      <c r="E14" s="6" t="inlineStr">
        <is>
          <t>Public? contact stripping</t>
        </is>
      </c>
      <c r="F14" s="6" t="inlineStr">
        <is>
          <t>G6: new capability table.</t>
        </is>
      </c>
      <c r="G14" s="6" t="inlineStr">
        <is>
          <t>Done — profile.service_capabilities.service_notes</t>
        </is>
      </c>
    </row>
    <row r="15">
      <c r="A15" s="6" t="inlineStr">
        <is>
          <t>Badges</t>
        </is>
      </c>
      <c r="B15" s="6" t="inlineStr">
        <is>
          <t>Export permitted</t>
        </is>
      </c>
      <c r="C15" s="6" t="inlineStr">
        <is>
          <t>Listing-level badge; profile.badges is profile-level</t>
        </is>
      </c>
      <c r="D15" s="6" t="inlineStr">
        <is>
          <t>M05/M06 listing badge table (or badges.badge_type 'export_permitted')</t>
        </is>
      </c>
      <c r="E15" s="6" t="inlineStr">
        <is>
          <t>Owner module</t>
        </is>
      </c>
      <c r="F15" s="6" t="inlineStr">
        <is>
          <t>Decision 8: listing badge — Module 5/6.</t>
        </is>
      </c>
      <c r="G15" s="6" t="inlineStr">
        <is>
          <t>Open — listing badge, designed with Module 5/6 (PRD-ORG-013)</t>
        </is>
      </c>
    </row>
    <row r="16">
      <c r="A16" s="6" t="inlineStr">
        <is>
          <t>Badges</t>
        </is>
      </c>
      <c r="B16" s="6" t="inlineStr">
        <is>
          <t>GST registered</t>
        </is>
      </c>
      <c r="C16" s="6" t="inlineStr">
        <is>
          <t>Not in badges.badge_type</t>
        </is>
      </c>
      <c r="D16" s="6" t="inlineStr">
        <is>
          <t>badges.badge_type 'gst_registered', source_ref → business_registrations.id</t>
        </is>
      </c>
      <c r="E16" s="6" t="inlineStr">
        <is>
          <t>Stored or computed live</t>
        </is>
      </c>
      <c r="F16" s="6" t="inlineStr">
        <is>
          <t>G12: new badge type (automatic from active GSTIN).</t>
        </is>
      </c>
      <c r="G16" s="6" t="inlineStr">
        <is>
          <t>Done — profile.badges (badge_type = gst_registered, source_ref → business_registrations)</t>
        </is>
      </c>
    </row>
    <row r="17">
      <c r="A17" s="6" t="inlineStr">
        <is>
          <t>Badges</t>
        </is>
      </c>
      <c r="B17" s="6" t="inlineStr">
        <is>
          <t>Trusted</t>
        </is>
      </c>
      <c r="C17" s="6" t="inlineStr">
        <is>
          <t>Not in badges.badge_type; trust level lives in M10</t>
        </is>
      </c>
      <c r="D17" s="6" t="inlineStr">
        <is>
          <t>M10 trust table, or badges.badge_type 'trusted'</t>
        </is>
      </c>
      <c r="E17" s="6" t="inlineStr">
        <is>
          <t>M10 design (R2)</t>
        </is>
      </c>
      <c r="F17" s="6" t="inlineStr">
        <is>
          <t>G12: new badge type, rules in M10, starts R2.</t>
        </is>
      </c>
      <c r="G17" s="6" t="inlineStr">
        <is>
          <t>Done — profile.badges (badge_type = trusted, source_ref → M10 trust record)</t>
        </is>
      </c>
    </row>
    <row r="18">
      <c r="A18" s="6" t="inlineStr">
        <is>
          <t>Badges</t>
        </is>
      </c>
      <c r="B18" s="6" t="inlineStr">
        <is>
          <t>Verified Origin · Tree Registration · Lab Tested</t>
        </is>
      </c>
      <c r="C18" s="6" t="inlineStr">
        <is>
          <t>Listing-level, not in M03</t>
        </is>
      </c>
      <c r="D18" s="6" t="inlineStr">
        <is>
          <t>Module 6 tables</t>
        </is>
      </c>
      <c r="E18" s="6" t="inlineStr">
        <is>
          <t>Discuss in M06</t>
        </is>
      </c>
      <c r="F18" s="6" t="inlineStr">
        <is>
          <t>Decision 8: decide in Module 6.</t>
        </is>
      </c>
      <c r="G18" s="6" t="inlineStr">
        <is>
          <t>Open — to be decided in Module 6 (PRD §15 item 28)</t>
        </is>
      </c>
    </row>
    <row r="19">
      <c r="A19" s="6" t="inlineStr">
        <is>
          <t>Wizard 6 · Links &amp; bio</t>
        </is>
      </c>
      <c r="B19" s="6" t="inlineStr">
        <is>
          <t>Link ownership proof (meta tag / code in bio)</t>
        </is>
      </c>
      <c r="C19" s="6" t="inlineStr">
        <is>
          <t>profile_links.scan_status is a safety scan only</t>
        </is>
      </c>
      <c r="D19" s="6" t="inlineStr">
        <is>
          <t>profile_links.ownership_method + ownership_confirmed_at</t>
        </is>
      </c>
      <c r="E19" s="6" t="inlineStr">
        <is>
          <t>Does 'Link confirmed' mean ownership or safe scan?</t>
        </is>
      </c>
      <c r="F19" s="6" t="inlineStr">
        <is>
          <t>G10: add ownership check; “Link confirmed”.</t>
        </is>
      </c>
      <c r="G19" s="6" t="inlineStr">
        <is>
          <t>Done — profile.profile_links.ownership_method, ownership_token_hash, ownership_confirmed_at; shows “Link confirmed”</t>
        </is>
      </c>
    </row>
    <row r="20">
      <c r="A20" s="6" t="inlineStr">
        <is>
          <t>Wizard 6 · Links &amp; bio</t>
        </is>
      </c>
      <c r="B20" s="6" t="inlineStr">
        <is>
          <t>Short bio (if kept separate)</t>
        </is>
      </c>
      <c r="C20" s="6" t="inlineStr">
        <is>
          <t>Only profiles.description exists</t>
        </is>
      </c>
      <c r="D20" s="6" t="inlineStr">
        <is>
          <t>Merge into description (preferred) or profiles.short_bio</t>
        </is>
      </c>
      <c r="E20" s="6" t="inlineStr">
        <is>
          <t>Merge?</t>
        </is>
      </c>
      <c r="F20" s="6" t="inlineStr">
        <is>
          <t>G11: keep both short bio (300) and description (1,000).</t>
        </is>
      </c>
      <c r="G20" s="6" t="inlineStr">
        <is>
          <t>Done — profile.profiles.short_bio</t>
        </is>
      </c>
    </row>
  </sheetData>
  <autoFilter ref="A1:G2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89"/>
  <sheetViews>
    <sheetView workbookViewId="0">
      <pane ySplit="9" topLeftCell="A10" activePane="bottomLeft" state="frozen"/>
      <selection pane="bottomLeft" activeCell="A1" sqref="A1"/>
    </sheetView>
  </sheetViews>
  <sheetFormatPr baseColWidth="8" defaultRowHeight="15"/>
  <cols>
    <col width="28" customWidth="1" min="1" max="1"/>
    <col width="38" customWidth="1" min="2" max="2"/>
    <col width="24" customWidth="1" min="3" max="3"/>
    <col width="20" customWidth="1" min="4" max="4"/>
    <col width="20" customWidth="1" min="5" max="5"/>
    <col width="40" customWidth="1" min="6" max="6"/>
    <col width="12" customWidth="1" min="7" max="7"/>
    <col width="18" customWidth="1" min="8" max="8"/>
    <col width="50" customWidth="1" min="9" max="9"/>
  </cols>
  <sheetData>
    <row r="1">
      <c r="A1" s="17" t="inlineStr">
        <is>
          <t>Are the Figma fields in our database and our UX documents?</t>
        </is>
      </c>
    </row>
    <row r="2">
      <c r="A2" s="4" t="inlineStr">
        <is>
          <t>Coverage</t>
        </is>
      </c>
      <c r="B2" s="4" t="inlineStr">
        <is>
          <t>Fields</t>
        </is>
      </c>
      <c r="C2" s="4" t="inlineStr">
        <is>
          <t>Meaning</t>
        </is>
      </c>
    </row>
    <row r="3">
      <c r="A3" s="18" t="inlineStr">
        <is>
          <t>Covered</t>
        </is>
      </c>
      <c r="B3">
        <f>COUNTIF(D10:D189,"Covered")</f>
        <v/>
      </c>
      <c r="C3" t="inlineStr">
        <is>
          <t>In the database and on the screen spec (M02-6 / M03-6)</t>
        </is>
      </c>
    </row>
    <row r="4">
      <c r="A4" s="19" t="inlineStr">
        <is>
          <t>Add to UX doc</t>
        </is>
      </c>
      <c r="B4">
        <f>COUNTIF(D10:D189,"Add to UX doc")</f>
        <v/>
      </c>
      <c r="C4" t="inlineStr">
        <is>
          <t>Stored, but the screen spec doesn't fully show it yet (next batch)</t>
        </is>
      </c>
    </row>
    <row r="5">
      <c r="A5" s="19" t="inlineStr">
        <is>
          <t>Add to database</t>
        </is>
      </c>
      <c r="B5">
        <f>COUNTIF(D10:D189,"Add to database")</f>
        <v/>
      </c>
      <c r="C5" t="inlineStr">
        <is>
          <t>On the screen spec, but no place to store it yet</t>
        </is>
      </c>
    </row>
    <row r="6">
      <c r="A6" s="20" t="inlineStr">
        <is>
          <t>Add to both</t>
        </is>
      </c>
      <c r="B6">
        <f>COUNTIF(D10:D189,"Add to both")</f>
        <v/>
      </c>
      <c r="C6" t="inlineStr">
        <is>
          <t>Not yet in database or UX docs (Module 5/6 items)</t>
        </is>
      </c>
    </row>
    <row r="7">
      <c r="A7" s="21" t="inlineStr">
        <is>
          <t>Not stored (by design)</t>
        </is>
      </c>
      <c r="B7">
        <f>COUNTIF(D10:D189,"Not stored (by design)")</f>
        <v/>
      </c>
      <c r="C7" t="inlineStr">
        <is>
          <t>Never saved, e.g. selfie, Aadhaar number, confirm password</t>
        </is>
      </c>
    </row>
    <row r="9">
      <c r="A9" s="5" t="inlineStr">
        <is>
          <t>Screen</t>
        </is>
      </c>
      <c r="B9" s="5" t="inlineStr">
        <is>
          <t>Field</t>
        </is>
      </c>
      <c r="C9" s="5" t="inlineStr">
        <is>
          <t>Action</t>
        </is>
      </c>
      <c r="D9" s="5" t="inlineStr">
        <is>
          <t>Coverage</t>
        </is>
      </c>
      <c r="E9" s="5" t="inlineStr">
        <is>
          <t>In database</t>
        </is>
      </c>
      <c r="F9" s="5" t="inlineStr">
        <is>
          <t>DB place</t>
        </is>
      </c>
      <c r="G9" s="5" t="inlineStr">
        <is>
          <t>In UX doc</t>
        </is>
      </c>
      <c r="H9" s="5" t="inlineStr">
        <is>
          <t>UX section</t>
        </is>
      </c>
      <c r="I9" s="5" t="inlineStr">
        <is>
          <t>Notes</t>
        </is>
      </c>
    </row>
    <row r="10">
      <c r="A10" s="6" t="inlineStr">
        <is>
          <t>Sign in</t>
        </is>
      </c>
      <c r="B10" s="6" t="inlineStr">
        <is>
          <t>Mobile number or email</t>
        </is>
      </c>
      <c r="C10" s="6" t="inlineStr">
        <is>
          <t>Change (Figma: email only)</t>
        </is>
      </c>
      <c r="D10" s="22" t="inlineStr">
        <is>
          <t>Not stored (by design)</t>
        </is>
      </c>
      <c r="E10" s="6" t="inlineStr">
        <is>
          <t>Not stored by design</t>
        </is>
      </c>
      <c r="F10" s="6" t="inlineStr">
        <is>
          <t>Lookup only against accounts.phone/email; M02-5 §4.2 security_events.identifier_hash</t>
        </is>
      </c>
      <c r="G10" s="6" t="inlineStr">
        <is>
          <t>Yes</t>
        </is>
      </c>
      <c r="H10" s="6" t="inlineStr">
        <is>
          <t>M02-6 §6</t>
        </is>
      </c>
      <c r="I10" s="6" t="inlineStr"/>
    </row>
    <row r="11">
      <c r="A11" s="6" t="inlineStr">
        <is>
          <t>Sign in</t>
        </is>
      </c>
      <c r="B11" s="6" t="inlineStr">
        <is>
          <t>Password (show / hide)</t>
        </is>
      </c>
      <c r="C11" s="6" t="inlineStr">
        <is>
          <t>Change (add show / hide)</t>
        </is>
      </c>
      <c r="D11" s="22" t="inlineStr">
        <is>
          <t>Not stored (by design)</t>
        </is>
      </c>
      <c r="E11" s="6" t="inlineStr">
        <is>
          <t>Not stored by design</t>
        </is>
      </c>
      <c r="F11" s="6" t="inlineStr">
        <is>
          <t>Keycloak credential; mirror M02-5 §2.1 accounts.password_set</t>
        </is>
      </c>
      <c r="G11" s="6" t="inlineStr">
        <is>
          <t>Yes</t>
        </is>
      </c>
      <c r="H11" s="6" t="inlineStr">
        <is>
          <t>M02-6 §6</t>
        </is>
      </c>
      <c r="I11" s="6" t="inlineStr"/>
    </row>
    <row r="12">
      <c r="A12" s="6" t="inlineStr">
        <is>
          <t>Sign in</t>
        </is>
      </c>
      <c r="B12" s="6" t="inlineStr">
        <is>
          <t>Public or shared device (checkbox)</t>
        </is>
      </c>
      <c r="C12" s="6" t="inlineStr">
        <is>
          <t>Change (replaces 'Remember me')</t>
        </is>
      </c>
      <c r="D12" s="22" t="inlineStr">
        <is>
          <t>Not stored (by design)</t>
        </is>
      </c>
      <c r="E12" s="6" t="inlineStr">
        <is>
          <t>Not stored by design</t>
        </is>
      </c>
      <c r="F12" s="6" t="inlineStr">
        <is>
          <t>Session-only Keycloak session</t>
        </is>
      </c>
      <c r="G12" s="6" t="inlineStr">
        <is>
          <t>Yes</t>
        </is>
      </c>
      <c r="H12" s="6" t="inlineStr">
        <is>
          <t>M02-6 §6</t>
        </is>
      </c>
      <c r="I12" s="6" t="inlineStr"/>
    </row>
    <row r="13">
      <c r="A13" s="6" t="inlineStr">
        <is>
          <t>Sign in</t>
        </is>
      </c>
      <c r="B13" s="6" t="inlineStr">
        <is>
          <t>Continue with Google</t>
        </is>
      </c>
      <c r="C13" s="6" t="inlineStr">
        <is>
          <t>Keep</t>
        </is>
      </c>
      <c r="D13" s="13" t="inlineStr">
        <is>
          <t>Covered</t>
        </is>
      </c>
      <c r="E13" s="6" t="inlineStr">
        <is>
          <t>Yes</t>
        </is>
      </c>
      <c r="F13" s="6" t="inlineStr">
        <is>
          <t>M02-5 §3.5 external_identities.provider,provider_subject,provider_email,linked_at,last_used_at</t>
        </is>
      </c>
      <c r="G13" s="6" t="inlineStr">
        <is>
          <t>Yes</t>
        </is>
      </c>
      <c r="H13" s="6" t="inlineStr">
        <is>
          <t>M02-6 §6; §4</t>
        </is>
      </c>
      <c r="I13" s="6" t="inlineStr"/>
    </row>
    <row r="14">
      <c r="A14" s="6" t="inlineStr">
        <is>
          <t>Sign in</t>
        </is>
      </c>
      <c r="B14" s="6" t="inlineStr">
        <is>
          <t>Continue with Apple</t>
        </is>
      </c>
      <c r="C14" s="6" t="inlineStr">
        <is>
          <t>Add</t>
        </is>
      </c>
      <c r="D14" s="13" t="inlineStr">
        <is>
          <t>Covered</t>
        </is>
      </c>
      <c r="E14" s="6" t="inlineStr">
        <is>
          <t>Yes</t>
        </is>
      </c>
      <c r="F14" s="6" t="inlineStr">
        <is>
          <t>M02-5 §3.5 external_identities.provider,provider_email_is_relay,provider_given_name,provider_family_name; M02-5 §2.1 accounts.email_is_private_relay</t>
        </is>
      </c>
      <c r="G14" s="6" t="inlineStr">
        <is>
          <t>Yes</t>
        </is>
      </c>
      <c r="H14" s="6" t="inlineStr">
        <is>
          <t>M02-6 §6; §4.1</t>
        </is>
      </c>
      <c r="I14" s="6" t="inlineStr">
        <is>
          <t>provider value apple in check list</t>
        </is>
      </c>
    </row>
    <row r="15">
      <c r="A15" s="6" t="inlineStr">
        <is>
          <t>Sign in</t>
        </is>
      </c>
      <c r="B15" s="6" t="inlineStr">
        <is>
          <t>Forgot password? · I can't use my phone (links)</t>
        </is>
      </c>
      <c r="C15" s="6" t="inlineStr">
        <is>
          <t>Keep / Add</t>
        </is>
      </c>
      <c r="D15" s="13" t="inlineStr">
        <is>
          <t>Covered</t>
        </is>
      </c>
      <c r="E15" s="6" t="inlineStr">
        <is>
          <t>Yes</t>
        </is>
      </c>
      <c r="F15" s="6" t="inlineStr">
        <is>
          <t>M02-5 §4.3 recovery_requests.tier</t>
        </is>
      </c>
      <c r="G15" s="6" t="inlineStr">
        <is>
          <t>Yes</t>
        </is>
      </c>
      <c r="H15" s="6" t="inlineStr">
        <is>
          <t>M02-6 §6; §7</t>
        </is>
      </c>
      <c r="I15" s="6" t="inlineStr"/>
    </row>
    <row r="16">
      <c r="A16" s="6" t="inlineStr">
        <is>
          <t>Sign in</t>
        </is>
      </c>
      <c r="B16" s="6" t="inlineStr">
        <is>
          <t>New to OudhTrade? Create an account (link)</t>
        </is>
      </c>
      <c r="C16" s="6" t="inlineStr">
        <is>
          <t>Change (was 'Don't have account yet? Sign up')</t>
        </is>
      </c>
      <c r="D16" s="22" t="inlineStr">
        <is>
          <t>Not stored (by design)</t>
        </is>
      </c>
      <c r="E16" s="6" t="inlineStr">
        <is>
          <t>Not stored by design</t>
        </is>
      </c>
      <c r="F16" s="6" t="inlineStr">
        <is>
          <t>n/a (link)</t>
        </is>
      </c>
      <c r="G16" s="6" t="inlineStr">
        <is>
          <t>Yes</t>
        </is>
      </c>
      <c r="H16" s="6" t="inlineStr">
        <is>
          <t>M02-6 §6</t>
        </is>
      </c>
      <c r="I16" s="6" t="inlineStr">
        <is>
          <t>Open sign-up, no waitlist (M02-2 SUP-008).</t>
        </is>
      </c>
    </row>
    <row r="17">
      <c r="A17" s="6" t="inlineStr">
        <is>
          <t>Role selection</t>
        </is>
      </c>
      <c r="B17" s="6" t="inlineStr">
        <is>
          <t>I am joining as — role card (Buyer · Seller · Company · Nursery · Inoculation Provider · Farmer)</t>
        </is>
      </c>
      <c r="C17" s="6" t="inlineStr">
        <is>
          <t>Keep (fix button label 'Continue as {role}')</t>
        </is>
      </c>
      <c r="D17" s="13" t="inlineStr">
        <is>
          <t>Covered</t>
        </is>
      </c>
      <c r="E17" s="6" t="inlineStr">
        <is>
          <t>Yes</t>
        </is>
      </c>
      <c r="F17" s="6" t="inlineStr">
        <is>
          <t>M02-5 §2.1 accounts.declared_role; M03-5 §2.3 role_assignments.role,source</t>
        </is>
      </c>
      <c r="G17" s="6" t="inlineStr">
        <is>
          <t>Yes</t>
        </is>
      </c>
      <c r="H17" s="6" t="inlineStr">
        <is>
          <t>M02-6 §4; M03-6 §4</t>
        </is>
      </c>
      <c r="I17" s="6" t="inlineStr"/>
    </row>
    <row r="18">
      <c r="A18" s="6" t="inlineStr">
        <is>
          <t>Role selection</t>
        </is>
      </c>
      <c r="B18" s="6" t="inlineStr">
        <is>
          <t>Which role fits me? (link to S01)</t>
        </is>
      </c>
      <c r="C18" s="6" t="inlineStr">
        <is>
          <t>Add</t>
        </is>
      </c>
      <c r="D18" s="22" t="inlineStr">
        <is>
          <t>Not stored (by design)</t>
        </is>
      </c>
      <c r="E18" s="6" t="inlineStr">
        <is>
          <t>Not stored by design</t>
        </is>
      </c>
      <c r="F18" s="6" t="inlineStr">
        <is>
          <t>Helper screen (reads document_checklists)</t>
        </is>
      </c>
      <c r="G18" s="6" t="inlineStr">
        <is>
          <t>Yes</t>
        </is>
      </c>
      <c r="H18" s="6" t="inlineStr">
        <is>
          <t>M03-6 §4</t>
        </is>
      </c>
      <c r="I18" s="6" t="inlineStr"/>
    </row>
    <row r="19">
      <c r="A19" s="6" t="inlineStr">
        <is>
          <t>Role selection</t>
        </is>
      </c>
      <c r="B19" s="6" t="inlineStr">
        <is>
          <t>Invitation role pre-fill (via invite link only)</t>
        </is>
      </c>
      <c r="C19" s="6" t="inlineStr">
        <is>
          <t>Add</t>
        </is>
      </c>
      <c r="D19" s="13" t="inlineStr">
        <is>
          <t>Covered</t>
        </is>
      </c>
      <c r="E19" s="6" t="inlineStr">
        <is>
          <t>Yes</t>
        </is>
      </c>
      <c r="F19" s="6" t="inlineStr">
        <is>
          <t>M02-5 §2.1 accounts.invitation_id,invited_by; M02-5 §3.1 invitations.allowed_roles,role_request_role,role_request_note</t>
        </is>
      </c>
      <c r="G19" s="6" t="inlineStr">
        <is>
          <t>Yes</t>
        </is>
      </c>
      <c r="H19" s="6" t="inlineStr">
        <is>
          <t>M02-6 §3.1; §3.3; §4</t>
        </is>
      </c>
      <c r="I19" s="6" t="inlineStr"/>
    </row>
    <row r="20">
      <c r="A20" s="6" t="inlineStr">
        <is>
          <t>Buyer type</t>
        </is>
      </c>
      <c r="B20" s="6" t="inlineStr">
        <is>
          <t>Buyer: For myself · For a business</t>
        </is>
      </c>
      <c r="C20" s="6" t="inlineStr">
        <is>
          <t>Change (inside the Buyer role card at sign-up; buyer copy, not seller 'publishing' copy)</t>
        </is>
      </c>
      <c r="D20" s="13" t="inlineStr">
        <is>
          <t>Covered</t>
        </is>
      </c>
      <c r="E20" s="6" t="inlineStr">
        <is>
          <t>Yes</t>
        </is>
      </c>
      <c r="F20" s="6" t="inlineStr">
        <is>
          <t>M02-5 §2.1 accounts.declared_buyer_kind; M03-5 §2.1 profiles.profile_kind; M03-5 §2.3 role_assignments.profile_kind; M03-5 §2.4 role_change_requests.is_self_service</t>
        </is>
      </c>
      <c r="G20" s="6" t="inlineStr">
        <is>
          <t>Yes</t>
        </is>
      </c>
      <c r="H20" s="6" t="inlineStr">
        <is>
          <t>M02-6 §4; M03-6 §13</t>
        </is>
      </c>
      <c r="I20" s="6" t="inlineStr"/>
    </row>
    <row r="21">
      <c r="A21" s="6" t="inlineStr">
        <is>
          <t>Create account</t>
        </is>
      </c>
      <c r="B21" s="6" t="inlineStr">
        <is>
          <t>Your full name (as on your ID)</t>
        </is>
      </c>
      <c r="C21" s="6" t="inlineStr">
        <is>
          <t>Add</t>
        </is>
      </c>
      <c r="D21" s="13" t="inlineStr">
        <is>
          <t>Covered</t>
        </is>
      </c>
      <c r="E21" s="6" t="inlineStr">
        <is>
          <t>Yes</t>
        </is>
      </c>
      <c r="F21" s="6" t="inlineStr">
        <is>
          <t>M02-5 §2.1 accounts.display_name; M03-5 §2.1 profiles.person_legal_name (copied once)</t>
        </is>
      </c>
      <c r="G21" s="6" t="inlineStr">
        <is>
          <t>Yes</t>
        </is>
      </c>
      <c r="H21" s="6" t="inlineStr">
        <is>
          <t>M02-6 §4</t>
        </is>
      </c>
      <c r="I21" s="6" t="inlineStr">
        <is>
          <t>M02-2 SUP-001; M03-2 PRF-015</t>
        </is>
      </c>
    </row>
    <row r="22">
      <c r="A22" s="6" t="inlineStr">
        <is>
          <t>Create account</t>
        </is>
      </c>
      <c r="B22" s="6" t="inlineStr">
        <is>
          <t>Mobile number (with country code)</t>
        </is>
      </c>
      <c r="C22" s="6" t="inlineStr">
        <is>
          <t>Change (split from mixed 'Email or Mobile'; add country-code picker)</t>
        </is>
      </c>
      <c r="D22" s="13" t="inlineStr">
        <is>
          <t>Covered</t>
        </is>
      </c>
      <c r="E22" s="6" t="inlineStr">
        <is>
          <t>Yes</t>
        </is>
      </c>
      <c r="F22" s="6" t="inlineStr">
        <is>
          <t>M02-5 §2.1 accounts.phone,phone_confirmed_at,phone_country,phone_line_type</t>
        </is>
      </c>
      <c r="G22" s="6" t="inlineStr">
        <is>
          <t>Yes</t>
        </is>
      </c>
      <c r="H22" s="6" t="inlineStr">
        <is>
          <t>M02-6 §4; M01-6 §7 (phone field)</t>
        </is>
      </c>
      <c r="I22" s="6" t="inlineStr">
        <is>
          <t>Country-code picker is the M01 phone field</t>
        </is>
      </c>
    </row>
    <row r="23">
      <c r="A23" s="6" t="inlineStr">
        <is>
          <t>Create account</t>
        </is>
      </c>
      <c r="B23" s="6" t="inlineStr">
        <is>
          <t>Email (optional for farmers)</t>
        </is>
      </c>
      <c r="C23" s="6" t="inlineStr">
        <is>
          <t>Change (own field)</t>
        </is>
      </c>
      <c r="D23" s="13" t="inlineStr">
        <is>
          <t>Covered</t>
        </is>
      </c>
      <c r="E23" s="6" t="inlineStr">
        <is>
          <t>Yes</t>
        </is>
      </c>
      <c r="F23" s="6" t="inlineStr">
        <is>
          <t>M02-5 §2.1 accounts.email,email_confirmed_at,email_optional,email_is_private_relay</t>
        </is>
      </c>
      <c r="G23" s="6" t="inlineStr">
        <is>
          <t>Yes</t>
        </is>
      </c>
      <c r="H23" s="6" t="inlineStr">
        <is>
          <t>M02-6 §4</t>
        </is>
      </c>
      <c r="I23" s="6" t="inlineStr"/>
    </row>
    <row r="24">
      <c r="A24" s="6" t="inlineStr">
        <is>
          <t>Create account</t>
        </is>
      </c>
      <c r="B24" s="6" t="inlineStr">
        <is>
          <t>Account country</t>
        </is>
      </c>
      <c r="C24" s="6" t="inlineStr">
        <is>
          <t>Add</t>
        </is>
      </c>
      <c r="D24" s="13" t="inlineStr">
        <is>
          <t>Covered</t>
        </is>
      </c>
      <c r="E24" s="6" t="inlineStr">
        <is>
          <t>Yes</t>
        </is>
      </c>
      <c r="F24" s="6" t="inlineStr">
        <is>
          <t>M02-5 §2.1 accounts.declared_country,phone_country,signup_ip_country,has_country_difference; M02-5 §4.4 contact_changes.kind</t>
        </is>
      </c>
      <c r="G24" s="6" t="inlineStr">
        <is>
          <t>Yes</t>
        </is>
      </c>
      <c r="H24" s="6" t="inlineStr">
        <is>
          <t>M02-6 §4; §9</t>
        </is>
      </c>
      <c r="I24" s="6" t="inlineStr"/>
    </row>
    <row r="25">
      <c r="A25" s="6" t="inlineStr">
        <is>
          <t>Create account</t>
        </is>
      </c>
      <c r="B25" s="6" t="inlineStr">
        <is>
          <t>Password (rules, strength hint, show / hide)</t>
        </is>
      </c>
      <c r="C25" s="6" t="inlineStr">
        <is>
          <t>Change (fix placeholder 'you@company.com')</t>
        </is>
      </c>
      <c r="D25" s="22" t="inlineStr">
        <is>
          <t>Not stored (by design)</t>
        </is>
      </c>
      <c r="E25" s="6" t="inlineStr">
        <is>
          <t>Not stored by design</t>
        </is>
      </c>
      <c r="F25" s="6" t="inlineStr">
        <is>
          <t>Keycloak; mirror M02-5 §2.1 accounts.password_set</t>
        </is>
      </c>
      <c r="G25" s="6" t="inlineStr">
        <is>
          <t>Yes</t>
        </is>
      </c>
      <c r="H25" s="6" t="inlineStr">
        <is>
          <t>M02-6 §4</t>
        </is>
      </c>
      <c r="I25" s="6" t="inlineStr"/>
    </row>
    <row r="26">
      <c r="A26" s="6" t="inlineStr">
        <is>
          <t>Create account</t>
        </is>
      </c>
      <c r="B26" s="6" t="inlineStr">
        <is>
          <t>I am 18 or over</t>
        </is>
      </c>
      <c r="C26" s="6" t="inlineStr">
        <is>
          <t>Keep</t>
        </is>
      </c>
      <c r="D26" s="13" t="inlineStr">
        <is>
          <t>Covered</t>
        </is>
      </c>
      <c r="E26" s="6" t="inlineStr">
        <is>
          <t>Yes</t>
        </is>
      </c>
      <c r="F26" s="6" t="inlineStr">
        <is>
          <t>M02-5 §3.3 legal_acceptances.document_type,document_version,accepted_at,ip,channel</t>
        </is>
      </c>
      <c r="G26" s="6" t="inlineStr">
        <is>
          <t>Yes</t>
        </is>
      </c>
      <c r="H26" s="6" t="inlineStr">
        <is>
          <t>M02-6 §4</t>
        </is>
      </c>
      <c r="I26" s="6" t="inlineStr">
        <is>
          <t>document_type = age_declaration</t>
        </is>
      </c>
    </row>
    <row r="27">
      <c r="A27" s="6" t="inlineStr">
        <is>
          <t>Create account</t>
        </is>
      </c>
      <c r="B27" s="6" t="inlineStr">
        <is>
          <t>I agree to the Terms of Use and have read the Privacy Notice</t>
        </is>
      </c>
      <c r="C27" s="6" t="inlineStr">
        <is>
          <t>Change (on the form; never pre-ticked)</t>
        </is>
      </c>
      <c r="D27" s="13" t="inlineStr">
        <is>
          <t>Covered</t>
        </is>
      </c>
      <c r="E27" s="6" t="inlineStr">
        <is>
          <t>Yes</t>
        </is>
      </c>
      <c r="F27" s="6" t="inlineStr">
        <is>
          <t>M02-5 §3.3 legal_acceptances.document_type; M02-5 §2.1 accounts.accepted_terms_version,accepted_privacy_version</t>
        </is>
      </c>
      <c r="G27" s="6" t="inlineStr">
        <is>
          <t>Yes</t>
        </is>
      </c>
      <c r="H27" s="6" t="inlineStr">
        <is>
          <t>M02-6 §4</t>
        </is>
      </c>
      <c r="I27" s="6" t="inlineStr">
        <is>
          <t>Separate unticked lines on the agreements step after the codes (M02-2 SUP-031)</t>
        </is>
      </c>
    </row>
    <row r="28">
      <c r="A28" s="6" t="inlineStr">
        <is>
          <t>Create account</t>
        </is>
      </c>
      <c r="B28" s="6" t="inlineStr">
        <is>
          <t>How did you hear about OudhTrade? (optional)</t>
        </is>
      </c>
      <c r="C28" s="6" t="inlineStr">
        <is>
          <t>Add</t>
        </is>
      </c>
      <c r="D28" s="13" t="inlineStr">
        <is>
          <t>Covered</t>
        </is>
      </c>
      <c r="E28" s="6" t="inlineStr">
        <is>
          <t>Yes</t>
        </is>
      </c>
      <c r="F28" s="6" t="inlineStr">
        <is>
          <t>M02-5 §2.1 accounts.how_heard</t>
        </is>
      </c>
      <c r="G28" s="6" t="inlineStr">
        <is>
          <t>Yes</t>
        </is>
      </c>
      <c r="H28" s="6" t="inlineStr">
        <is>
          <t>M02-6 §4</t>
        </is>
      </c>
      <c r="I28" s="6" t="inlineStr"/>
    </row>
    <row r="29">
      <c r="A29" s="6" t="inlineStr">
        <is>
          <t>Create account</t>
        </is>
      </c>
      <c r="B29" s="6" t="inlineStr">
        <is>
          <t>Invitation code</t>
        </is>
      </c>
      <c r="C29" s="6" t="inlineStr">
        <is>
          <t>Add (only via invite link, never typed)</t>
        </is>
      </c>
      <c r="D29" s="13" t="inlineStr">
        <is>
          <t>Covered</t>
        </is>
      </c>
      <c r="E29" s="6" t="inlineStr">
        <is>
          <t>Yes</t>
        </is>
      </c>
      <c r="F29" s="6" t="inlineStr">
        <is>
          <t>M02-5 §2.1 accounts.invitation_id; M02-5 §3.1 invitations.code_hash</t>
        </is>
      </c>
      <c r="G29" s="6" t="inlineStr">
        <is>
          <t>Yes</t>
        </is>
      </c>
      <c r="H29" s="6" t="inlineStr">
        <is>
          <t>M02-6 §4.1; §3.1</t>
        </is>
      </c>
      <c r="I29" s="6" t="inlineStr">
        <is>
          <t>No field on the form; §3.1 keeps a typed field only for SMS / voice invitations</t>
        </is>
      </c>
    </row>
    <row r="30">
      <c r="A30" s="6" t="inlineStr">
        <is>
          <t>Create account</t>
        </is>
      </c>
      <c r="B30" s="6" t="inlineStr">
        <is>
          <t>Continue with Google / Apple (first time)</t>
        </is>
      </c>
      <c r="C30" s="6" t="inlineStr">
        <is>
          <t>Change (Apple added)</t>
        </is>
      </c>
      <c r="D30" s="13" t="inlineStr">
        <is>
          <t>Covered</t>
        </is>
      </c>
      <c r="E30" s="6" t="inlineStr">
        <is>
          <t>Yes</t>
        </is>
      </c>
      <c r="F30" s="6" t="inlineStr">
        <is>
          <t>M02-5 §3.5 external_identities.provider</t>
        </is>
      </c>
      <c r="G30" s="6" t="inlineStr">
        <is>
          <t>Yes</t>
        </is>
      </c>
      <c r="H30" s="6" t="inlineStr">
        <is>
          <t>M02-6 §4.1</t>
        </is>
      </c>
      <c r="I30" s="6" t="inlineStr"/>
    </row>
    <row r="31">
      <c r="A31" s="6" t="inlineStr">
        <is>
          <t>Create account</t>
        </is>
      </c>
      <c r="B31" s="6" t="inlineStr">
        <is>
          <t>Bot check (invisible)</t>
        </is>
      </c>
      <c r="C31" s="6" t="inlineStr">
        <is>
          <t>Add</t>
        </is>
      </c>
      <c r="D31" s="13" t="inlineStr">
        <is>
          <t>Covered</t>
        </is>
      </c>
      <c r="E31" s="6" t="inlineStr">
        <is>
          <t>Yes</t>
        </is>
      </c>
      <c r="F31" s="6" t="inlineStr">
        <is>
          <t>M02-5 §2.1 accounts.bot_check_mode</t>
        </is>
      </c>
      <c r="G31" s="6" t="inlineStr">
        <is>
          <t>Yes</t>
        </is>
      </c>
      <c r="H31" s="6" t="inlineStr">
        <is>
          <t>M02-6 §4.2; §3.1</t>
        </is>
      </c>
      <c r="I31" s="6" t="inlineStr">
        <is>
          <t>Invisible; UX covers slow/fallback states</t>
        </is>
      </c>
    </row>
    <row r="32">
      <c r="A32" s="6" t="inlineStr">
        <is>
          <t>Create account</t>
        </is>
      </c>
      <c r="B32" s="6" t="inlineStr">
        <is>
          <t>Browser language and time zone (captured, no field)</t>
        </is>
      </c>
      <c r="C32" s="6" t="inlineStr">
        <is>
          <t>Add</t>
        </is>
      </c>
      <c r="D32" s="13" t="inlineStr">
        <is>
          <t>Covered</t>
        </is>
      </c>
      <c r="E32" s="6" t="inlineStr">
        <is>
          <t>Yes</t>
        </is>
      </c>
      <c r="F32" s="6" t="inlineStr">
        <is>
          <t>M01-5 §4.2 user_preferences.language,time_zone,time_zone_source; M02-5 §2.1 accounts.signup_locale</t>
        </is>
      </c>
      <c r="G32" s="6" t="inlineStr">
        <is>
          <t>Yes</t>
        </is>
      </c>
      <c r="H32" s="6" t="inlineStr">
        <is>
          <t>M02-6 §17</t>
        </is>
      </c>
      <c r="I32" s="6" t="inlineStr">
        <is>
          <t>No field on sign-up (by design); shown later as "Set automatically from your browser"</t>
        </is>
      </c>
    </row>
    <row r="33">
      <c r="A33" s="6" t="inlineStr">
        <is>
          <t>Agreements (consents)</t>
        </is>
      </c>
      <c r="B33" s="6" t="inlineStr">
        <is>
          <t>Terms of Use (required)</t>
        </is>
      </c>
      <c r="C33" s="6" t="inlineStr">
        <is>
          <t>Change (never pre-ticked; merged into the sign-up checkbox)</t>
        </is>
      </c>
      <c r="D33" s="13" t="inlineStr">
        <is>
          <t>Covered</t>
        </is>
      </c>
      <c r="E33" s="6" t="inlineStr">
        <is>
          <t>Yes</t>
        </is>
      </c>
      <c r="F33" s="6" t="inlineStr">
        <is>
          <t>M02-5 §3.3 legal_acceptances.document_type</t>
        </is>
      </c>
      <c r="G33" s="6" t="inlineStr">
        <is>
          <t>Yes</t>
        </is>
      </c>
      <c r="H33" s="6" t="inlineStr">
        <is>
          <t>M02-6 §4</t>
        </is>
      </c>
      <c r="I33" s="6" t="inlineStr">
        <is>
          <t>Required line (1)</t>
        </is>
      </c>
    </row>
    <row r="34">
      <c r="A34" s="6" t="inlineStr">
        <is>
          <t>Agreements (consents)</t>
        </is>
      </c>
      <c r="B34" s="6" t="inlineStr">
        <is>
          <t>Privacy Notice (required)</t>
        </is>
      </c>
      <c r="C34" s="6" t="inlineStr">
        <is>
          <t>Change (never pre-ticked)</t>
        </is>
      </c>
      <c r="D34" s="13" t="inlineStr">
        <is>
          <t>Covered</t>
        </is>
      </c>
      <c r="E34" s="6" t="inlineStr">
        <is>
          <t>Yes</t>
        </is>
      </c>
      <c r="F34" s="6" t="inlineStr">
        <is>
          <t>M02-5 §3.3 legal_acceptances.document_type</t>
        </is>
      </c>
      <c r="G34" s="6" t="inlineStr">
        <is>
          <t>Yes</t>
        </is>
      </c>
      <c r="H34" s="6" t="inlineStr">
        <is>
          <t>M02-6 §4</t>
        </is>
      </c>
      <c r="I34" s="6" t="inlineStr">
        <is>
          <t>Required line (2)</t>
        </is>
      </c>
    </row>
    <row r="35">
      <c r="A35" s="6" t="inlineStr">
        <is>
          <t>Agreements (consents)</t>
        </is>
      </c>
      <c r="B35" s="6" t="inlineStr">
        <is>
          <t>DPDP consent to processing ('withdraw any time')</t>
        </is>
      </c>
      <c r="C35" s="6" t="inlineStr">
        <is>
          <t>Change</t>
        </is>
      </c>
      <c r="D35" s="13" t="inlineStr">
        <is>
          <t>Covered</t>
        </is>
      </c>
      <c r="E35" s="6" t="inlineStr">
        <is>
          <t>Yes</t>
        </is>
      </c>
      <c r="F35" s="6" t="inlineStr">
        <is>
          <t>M02-5 §3.3 legal_acceptances.document_type,document_version,accepted_at,ip,channel</t>
        </is>
      </c>
      <c r="G35" s="6" t="inlineStr">
        <is>
          <t>Yes</t>
        </is>
      </c>
      <c r="H35" s="6" t="inlineStr">
        <is>
          <t>M02-6 §4; §12</t>
        </is>
      </c>
      <c r="I35" s="6" t="inlineStr">
        <is>
          <t>Required line (3)</t>
        </is>
      </c>
    </row>
    <row r="36">
      <c r="A36" s="6" t="inlineStr">
        <is>
          <t>Agreements (consents)</t>
        </is>
      </c>
      <c r="B36" s="6" t="inlineStr">
        <is>
          <t>Grievance Officer notice</t>
        </is>
      </c>
      <c r="C36" s="6" t="inlineStr">
        <is>
          <t>Keep (required line, unticked)</t>
        </is>
      </c>
      <c r="D36" s="13" t="inlineStr">
        <is>
          <t>Covered</t>
        </is>
      </c>
      <c r="E36" s="6" t="inlineStr">
        <is>
          <t>Yes</t>
        </is>
      </c>
      <c r="F36" s="6" t="inlineStr">
        <is>
          <t>M02-5 §3.3 legal_acceptances.document_type = grievance_notice</t>
        </is>
      </c>
      <c r="G36" s="6" t="inlineStr">
        <is>
          <t>Yes</t>
        </is>
      </c>
      <c r="H36" s="6" t="inlineStr">
        <is>
          <t>M02-6 §4</t>
        </is>
      </c>
      <c r="I36" s="6" t="inlineStr">
        <is>
          <t>Required line (4) (M02-2 SUP-031)</t>
        </is>
      </c>
    </row>
    <row r="37">
      <c r="A37" s="6" t="inlineStr">
        <is>
          <t>Agreements (consents)</t>
        </is>
      </c>
      <c r="B37" s="6" t="inlineStr">
        <is>
          <t>Deals happen off-platform (acknowledgement)</t>
        </is>
      </c>
      <c r="C37" s="6" t="inlineStr">
        <is>
          <t>Change</t>
        </is>
      </c>
      <c r="D37" s="13" t="inlineStr">
        <is>
          <t>Covered</t>
        </is>
      </c>
      <c r="E37" s="6" t="inlineStr">
        <is>
          <t>Yes</t>
        </is>
      </c>
      <c r="F37" s="6" t="inlineStr">
        <is>
          <t>M02-5 §3.3 legal_acceptances.document_type</t>
        </is>
      </c>
      <c r="G37" s="6" t="inlineStr">
        <is>
          <t>Yes</t>
        </is>
      </c>
      <c r="H37" s="6" t="inlineStr">
        <is>
          <t>M02-6 §4</t>
        </is>
      </c>
      <c r="I37" s="6" t="inlineStr">
        <is>
          <t>Required line (5)</t>
        </is>
      </c>
    </row>
    <row r="38">
      <c r="A38" s="6" t="inlineStr">
        <is>
          <t>Agreements (consents)</t>
        </is>
      </c>
      <c r="B38" s="6" t="inlineStr">
        <is>
          <t>Market updates (optional, off by default)</t>
        </is>
      </c>
      <c r="C38" s="6" t="inlineStr">
        <is>
          <t>Keep</t>
        </is>
      </c>
      <c r="D38" s="13" t="inlineStr">
        <is>
          <t>Covered</t>
        </is>
      </c>
      <c r="E38" s="6" t="inlineStr">
        <is>
          <t>Yes</t>
        </is>
      </c>
      <c r="F38" s="6" t="inlineStr">
        <is>
          <t>M02-5 §3.4 consents.purpose,choice</t>
        </is>
      </c>
      <c r="G38" s="6" t="inlineStr">
        <is>
          <t>Yes</t>
        </is>
      </c>
      <c r="H38" s="6" t="inlineStr">
        <is>
          <t>M02-6 §4; §12</t>
        </is>
      </c>
      <c r="I38" s="6" t="inlineStr">
        <is>
          <t>purpose = marketing_email; SMS / WhatsApp are separate Settings switches</t>
        </is>
      </c>
    </row>
    <row r="39">
      <c r="A39" s="6" t="inlineStr">
        <is>
          <t>Agreements (consents)</t>
        </is>
      </c>
      <c r="B39" s="6" t="inlineStr">
        <is>
          <t>Personalise promotions (optional, off by default)</t>
        </is>
      </c>
      <c r="C39" s="6" t="inlineStr">
        <is>
          <t>Keep</t>
        </is>
      </c>
      <c r="D39" s="13" t="inlineStr">
        <is>
          <t>Covered</t>
        </is>
      </c>
      <c r="E39" s="6" t="inlineStr">
        <is>
          <t>Yes</t>
        </is>
      </c>
      <c r="F39" s="6" t="inlineStr">
        <is>
          <t>M02-5 §3.4 consents.purpose,choice</t>
        </is>
      </c>
      <c r="G39" s="6" t="inlineStr">
        <is>
          <t>Yes</t>
        </is>
      </c>
      <c r="H39" s="6" t="inlineStr">
        <is>
          <t>M02-6 §4; §12</t>
        </is>
      </c>
      <c r="I39" s="6" t="inlineStr">
        <is>
          <t>purpose = personalised_promotions</t>
        </is>
      </c>
    </row>
    <row r="40">
      <c r="A40" s="6" t="inlineStr">
        <is>
          <t>Code screens</t>
        </is>
      </c>
      <c r="B40" s="6" t="inlineStr">
        <is>
          <t>6-digit code</t>
        </is>
      </c>
      <c r="C40" s="6" t="inlineStr">
        <is>
          <t>Change ('code', never 'OTP'; one field, paste / auto-fill)</t>
        </is>
      </c>
      <c r="D40" s="22" t="inlineStr">
        <is>
          <t>Not stored (by design)</t>
        </is>
      </c>
      <c r="E40" s="6" t="inlineStr">
        <is>
          <t>Not stored by design</t>
        </is>
      </c>
      <c r="F40" s="6" t="inlineStr">
        <is>
          <t>Redis only</t>
        </is>
      </c>
      <c r="G40" s="6" t="inlineStr">
        <is>
          <t>Yes</t>
        </is>
      </c>
      <c r="H40" s="6" t="inlineStr">
        <is>
          <t>M02-6 §5</t>
        </is>
      </c>
      <c r="I40" s="6" t="inlineStr"/>
    </row>
    <row r="41">
      <c r="A41" s="6" t="inlineStr">
        <is>
          <t>Code screens</t>
        </is>
      </c>
      <c r="B41" s="6" t="inlineStr">
        <is>
          <t>Sent to {masked contact} · Wrong number? Change it</t>
        </is>
      </c>
      <c r="C41" s="6" t="inlineStr">
        <is>
          <t>Keep (mask with +91; fix 'gmail.com.com')</t>
        </is>
      </c>
      <c r="D41" s="13" t="inlineStr">
        <is>
          <t>Covered</t>
        </is>
      </c>
      <c r="E41" s="6" t="inlineStr">
        <is>
          <t>Yes</t>
        </is>
      </c>
      <c r="F41" s="6" t="inlineStr">
        <is>
          <t>M02-5 §2.1 accounts.phone,email</t>
        </is>
      </c>
      <c r="G41" s="6" t="inlineStr">
        <is>
          <t>Yes</t>
        </is>
      </c>
      <c r="H41" s="6" t="inlineStr">
        <is>
          <t>M02-6 §5</t>
        </is>
      </c>
      <c r="I41" s="6" t="inlineStr">
        <is>
          <t>Read only</t>
        </is>
      </c>
    </row>
    <row r="42">
      <c r="A42" s="6" t="inlineStr">
        <is>
          <t>Code screens</t>
        </is>
      </c>
      <c r="B42" s="6" t="inlineStr">
        <is>
          <t>Send a new code (with m:ss timer)</t>
        </is>
      </c>
      <c r="C42" s="6" t="inlineStr">
        <is>
          <t>Change (add countdown; limit message gives a time)</t>
        </is>
      </c>
      <c r="D42" s="22" t="inlineStr">
        <is>
          <t>Not stored (by design)</t>
        </is>
      </c>
      <c r="E42" s="6" t="inlineStr">
        <is>
          <t>Not stored by design</t>
        </is>
      </c>
      <c r="F42" s="6" t="inlineStr">
        <is>
          <t>Redis send counters</t>
        </is>
      </c>
      <c r="G42" s="6" t="inlineStr">
        <is>
          <t>Yes</t>
        </is>
      </c>
      <c r="H42" s="6" t="inlineStr">
        <is>
          <t>M02-6 §5</t>
        </is>
      </c>
      <c r="I42" s="6" t="inlineStr"/>
    </row>
    <row r="43">
      <c r="A43" s="6" t="inlineStr">
        <is>
          <t>Code screens</t>
        </is>
      </c>
      <c r="B43" s="6" t="inlineStr">
        <is>
          <t>Didn't get it? Call me (India) · WhatsApp · SMS · email</t>
        </is>
      </c>
      <c r="C43" s="6" t="inlineStr">
        <is>
          <t>Add</t>
        </is>
      </c>
      <c r="D43" s="22" t="inlineStr">
        <is>
          <t>Not stored (by design)</t>
        </is>
      </c>
      <c r="E43" s="6" t="inlineStr">
        <is>
          <t>Not stored by design</t>
        </is>
      </c>
      <c r="F43" s="6" t="inlineStr">
        <is>
          <t>Channel logged in M02-5 §4.2 security_events.method</t>
        </is>
      </c>
      <c r="G43" s="6" t="inlineStr">
        <is>
          <t>Yes</t>
        </is>
      </c>
      <c r="H43" s="6" t="inlineStr">
        <is>
          <t>M02-6 §5</t>
        </is>
      </c>
      <c r="I43" s="6" t="inlineStr"/>
    </row>
    <row r="44">
      <c r="A44" s="6" t="inlineStr">
        <is>
          <t>Code screens</t>
        </is>
      </c>
      <c r="B44" s="6" t="inlineStr">
        <is>
          <t>Remember this device for {days} days (sign-in only)</t>
        </is>
      </c>
      <c r="C44" s="6" t="inlineStr">
        <is>
          <t>Add</t>
        </is>
      </c>
      <c r="D44" s="13" t="inlineStr">
        <is>
          <t>Covered</t>
        </is>
      </c>
      <c r="E44" s="6" t="inlineStr">
        <is>
          <t>Yes</t>
        </is>
      </c>
      <c r="F44" s="6" t="inlineStr">
        <is>
          <t>M02-5 §4.1 trusted_devices.device_token_hash,device_label,trusted_until</t>
        </is>
      </c>
      <c r="G44" s="6" t="inlineStr">
        <is>
          <t>Yes</t>
        </is>
      </c>
      <c r="H44" s="6" t="inlineStr">
        <is>
          <t>M02-6 §5</t>
        </is>
      </c>
      <c r="I44" s="6" t="inlineStr"/>
    </row>
    <row r="45">
      <c r="A45" s="6" t="inlineStr">
        <is>
          <t>Wizard 1 · Profile info</t>
        </is>
      </c>
      <c r="B45" s="6" t="inlineStr">
        <is>
          <t>Store name (shown to buyers) — Figma 'Seller/Business Name'</t>
        </is>
      </c>
      <c r="C45" s="6" t="inlineStr">
        <is>
          <t>Change (label; 3–60 chars, not 2–100)</t>
        </is>
      </c>
      <c r="D45" s="13" t="inlineStr">
        <is>
          <t>Covered</t>
        </is>
      </c>
      <c r="E45" s="6" t="inlineStr">
        <is>
          <t>Yes</t>
        </is>
      </c>
      <c r="F45" s="6" t="inlineStr">
        <is>
          <t>M03-5 §2.1 profiles.trading_name,store_slug,trading_name_changed_at; M03-5 §2.5 name_history.name_type</t>
        </is>
      </c>
      <c r="G45" s="6" t="inlineStr">
        <is>
          <t>Yes</t>
        </is>
      </c>
      <c r="H45" s="6" t="inlineStr">
        <is>
          <t>M03-6 §5.2; §12</t>
        </is>
      </c>
      <c r="I45" s="6" t="inlineStr"/>
    </row>
    <row r="46">
      <c r="A46" s="6" t="inlineStr">
        <is>
          <t>Wizard 1 · Profile info</t>
        </is>
      </c>
      <c r="B46" s="6" t="inlineStr">
        <is>
          <t>Logo</t>
        </is>
      </c>
      <c r="C46" s="6" t="inlineStr">
        <is>
          <t>Change (recommended, not required)</t>
        </is>
      </c>
      <c r="D46" s="13" t="inlineStr">
        <is>
          <t>Covered</t>
        </is>
      </c>
      <c r="E46" s="6" t="inlineStr">
        <is>
          <t>Yes</t>
        </is>
      </c>
      <c r="F46" s="6" t="inlineStr">
        <is>
          <t>M03-5 §2.1 profiles.logo_file_id; M01-5 §2.1 files</t>
        </is>
      </c>
      <c r="G46" s="6" t="inlineStr">
        <is>
          <t>Yes</t>
        </is>
      </c>
      <c r="H46" s="6" t="inlineStr">
        <is>
          <t>M03-6 §12</t>
        </is>
      </c>
      <c r="I46" s="6" t="inlineStr"/>
    </row>
    <row r="47">
      <c r="A47" s="6" t="inlineStr">
        <is>
          <t>Wizard 1 · Profile info</t>
        </is>
      </c>
      <c r="B47" s="6" t="inlineStr">
        <is>
          <t>About your business — Figma 'About/Description'</t>
        </is>
      </c>
      <c r="C47" s="6" t="inlineStr">
        <is>
          <t>Change (label + help)</t>
        </is>
      </c>
      <c r="D47" s="13" t="inlineStr">
        <is>
          <t>Covered</t>
        </is>
      </c>
      <c r="E47" s="6" t="inlineStr">
        <is>
          <t>Yes</t>
        </is>
      </c>
      <c r="F47" s="6" t="inlineStr">
        <is>
          <t>M03-5 §2.1 profiles.description,original_language; M03-5 §2.6 profile_translations.text</t>
        </is>
      </c>
      <c r="G47" s="6" t="inlineStr">
        <is>
          <t>Yes</t>
        </is>
      </c>
      <c r="H47" s="6" t="inlineStr">
        <is>
          <t>M03-6 §12</t>
        </is>
      </c>
      <c r="I47" s="6" t="inlineStr"/>
    </row>
    <row r="48">
      <c r="A48" s="6" t="inlineStr">
        <is>
          <t>Wizard 1 · Profile info</t>
        </is>
      </c>
      <c r="B48" s="6" t="inlineStr">
        <is>
          <t>Country / State / City or District / Address line 1 / Pincode</t>
        </is>
      </c>
      <c r="C48" s="6" t="inlineStr">
        <is>
          <t>Change (move to registered address + Locations; not on the public step)</t>
        </is>
      </c>
      <c r="D48" s="13" t="inlineStr">
        <is>
          <t>Covered</t>
        </is>
      </c>
      <c r="E48" s="6" t="inlineStr">
        <is>
          <t>Yes</t>
        </is>
      </c>
      <c r="F48" s="6" t="inlineStr">
        <is>
          <t>M03-5 §3.5 profile_addresses.address_type,country,region_code,city,district_code,address_lines,postal_code,public_display_level</t>
        </is>
      </c>
      <c r="G48" s="6" t="inlineStr">
        <is>
          <t>Yes</t>
        </is>
      </c>
      <c r="H48" s="6" t="inlineStr">
        <is>
          <t>M03-6 §6; §5.1</t>
        </is>
      </c>
      <c r="I48" s="6" t="inlineStr">
        <is>
          <t>Registered address filled from registry in §5.1</t>
        </is>
      </c>
    </row>
    <row r="49">
      <c r="A49" s="6" t="inlineStr">
        <is>
          <t>Wizard 1 · Profile info</t>
        </is>
      </c>
      <c r="B49" s="6" t="inlineStr">
        <is>
          <t>Site usual contact hours</t>
        </is>
      </c>
      <c r="C49" s="6" t="inlineStr">
        <is>
          <t>Keep (decide)</t>
        </is>
      </c>
      <c r="D49" s="13" t="inlineStr">
        <is>
          <t>Covered</t>
        </is>
      </c>
      <c r="E49" s="6" t="inlineStr">
        <is>
          <t>Yes</t>
        </is>
      </c>
      <c r="F49" s="6" t="inlineStr">
        <is>
          <t>M03-5 §3.5 profile_addresses.contact_hours</t>
        </is>
      </c>
      <c r="G49" s="6" t="inlineStr">
        <is>
          <t>Yes</t>
        </is>
      </c>
      <c r="H49" s="6" t="inlineStr">
        <is>
          <t>M03-6 §6; §15</t>
        </is>
      </c>
      <c r="I49" s="6" t="inlineStr">
        <is>
          <t>Per location (M03-2 LOC-008)</t>
        </is>
      </c>
    </row>
    <row r="50">
      <c r="A50" s="6" t="inlineStr">
        <is>
          <t>Wizard 1 · Profile info</t>
        </is>
      </c>
      <c r="B50" s="6" t="inlineStr">
        <is>
          <t>Year started (optional)</t>
        </is>
      </c>
      <c r="C50" s="6" t="inlineStr">
        <is>
          <t>Add</t>
        </is>
      </c>
      <c r="D50" s="13" t="inlineStr">
        <is>
          <t>Covered</t>
        </is>
      </c>
      <c r="E50" s="6" t="inlineStr">
        <is>
          <t>Yes</t>
        </is>
      </c>
      <c r="F50" s="6" t="inlineStr">
        <is>
          <t>M03-5 §2.1 profiles.year_established</t>
        </is>
      </c>
      <c r="G50" s="6" t="inlineStr">
        <is>
          <t>Yes</t>
        </is>
      </c>
      <c r="H50" s="6" t="inlineStr">
        <is>
          <t>M03-6 §5.2; §12</t>
        </is>
      </c>
      <c r="I50" s="6" t="inlineStr"/>
    </row>
    <row r="51">
      <c r="A51" s="6" t="inlineStr">
        <is>
          <t>Wizard 1 · Profile info</t>
        </is>
      </c>
      <c r="B51" s="6" t="inlineStr">
        <is>
          <t>Number of people (optional)</t>
        </is>
      </c>
      <c r="C51" s="6" t="inlineStr">
        <is>
          <t>Add</t>
        </is>
      </c>
      <c r="D51" s="13" t="inlineStr">
        <is>
          <t>Covered</t>
        </is>
      </c>
      <c r="E51" s="6" t="inlineStr">
        <is>
          <t>Yes</t>
        </is>
      </c>
      <c r="F51" s="6" t="inlineStr">
        <is>
          <t>M03-5 §2.1 profiles.business_size</t>
        </is>
      </c>
      <c r="G51" s="6" t="inlineStr">
        <is>
          <t>Yes</t>
        </is>
      </c>
      <c r="H51" s="6" t="inlineStr">
        <is>
          <t>M03-6 §5.2; §12</t>
        </is>
      </c>
      <c r="I51" s="6" t="inlineStr"/>
    </row>
    <row r="52">
      <c r="A52" s="6" t="inlineStr">
        <is>
          <t>Wizard 1 · Profile info</t>
        </is>
      </c>
      <c r="B52" s="6" t="inlineStr">
        <is>
          <t>Languages you speak</t>
        </is>
      </c>
      <c r="C52" s="6" t="inlineStr">
        <is>
          <t>Add</t>
        </is>
      </c>
      <c r="D52" s="13" t="inlineStr">
        <is>
          <t>Covered</t>
        </is>
      </c>
      <c r="E52" s="6" t="inlineStr">
        <is>
          <t>Yes</t>
        </is>
      </c>
      <c r="F52" s="6" t="inlineStr">
        <is>
          <t>M03-5 §2.1 profiles.languages_spoken</t>
        </is>
      </c>
      <c r="G52" s="6" t="inlineStr">
        <is>
          <t>Yes</t>
        </is>
      </c>
      <c r="H52" s="6" t="inlineStr">
        <is>
          <t>M03-6 §12</t>
        </is>
      </c>
      <c r="I52" s="6" t="inlineStr"/>
    </row>
    <row r="53">
      <c r="A53" s="6" t="inlineStr">
        <is>
          <t>Wizard 1 · Profile info</t>
        </is>
      </c>
      <c r="B53" s="6" t="inlineStr">
        <is>
          <t>Cover photo · Photos of your business</t>
        </is>
      </c>
      <c r="C53" s="6" t="inlineStr">
        <is>
          <t>Add</t>
        </is>
      </c>
      <c r="D53" s="13" t="inlineStr">
        <is>
          <t>Covered</t>
        </is>
      </c>
      <c r="E53" s="6" t="inlineStr">
        <is>
          <t>Yes</t>
        </is>
      </c>
      <c r="F53" s="6" t="inlineStr">
        <is>
          <t>M03-5 §2.1 profiles.cover_file_id,photo_file_ids</t>
        </is>
      </c>
      <c r="G53" s="6" t="inlineStr">
        <is>
          <t>Yes</t>
        </is>
      </c>
      <c r="H53" s="6" t="inlineStr">
        <is>
          <t>M03-6 §12</t>
        </is>
      </c>
      <c r="I53" s="6" t="inlineStr"/>
    </row>
    <row r="54">
      <c r="A54" s="6" t="inlineStr">
        <is>
          <t>Wizard 2 · Business details (S04)</t>
        </is>
      </c>
      <c r="B54" s="6" t="inlineStr">
        <is>
          <t>Country where your business is registered</t>
        </is>
      </c>
      <c r="C54" s="6" t="inlineStr">
        <is>
          <t>Change (first field, dropdown; drives ID fields)</t>
        </is>
      </c>
      <c r="D54" s="13" t="inlineStr">
        <is>
          <t>Covered</t>
        </is>
      </c>
      <c r="E54" s="6" t="inlineStr">
        <is>
          <t>Yes</t>
        </is>
      </c>
      <c r="F54" s="6" t="inlineStr">
        <is>
          <t>M03-5 §2.1 profiles.registration_country,billing_country,billing_country_locked_at; M03-5 §3.2 business_registrations.country</t>
        </is>
      </c>
      <c r="G54" s="6" t="inlineStr">
        <is>
          <t>Yes</t>
        </is>
      </c>
      <c r="H54" s="6" t="inlineStr">
        <is>
          <t>M03-6 §5.1</t>
        </is>
      </c>
      <c r="I54" s="6" t="inlineStr"/>
    </row>
    <row r="55">
      <c r="A55" s="6" t="inlineStr">
        <is>
          <t>Wizard 2 · Business details (S04)</t>
        </is>
      </c>
      <c r="B55" s="6" t="inlineStr">
        <is>
          <t>GSTIN</t>
        </is>
      </c>
      <c r="C55" s="6" t="inlineStr">
        <is>
          <t>Keep (in 'at least one' group; badge wording → 'GST registered')</t>
        </is>
      </c>
      <c r="D55" s="13" t="inlineStr">
        <is>
          <t>Covered</t>
        </is>
      </c>
      <c r="E55" s="6" t="inlineStr">
        <is>
          <t>Yes</t>
        </is>
      </c>
      <c r="F55" s="6" t="inlineStr">
        <is>
          <t>M03-5 §3.2 business_registrations.registration_type,number_encrypted,number_hash,number_masked,region_code,is_primary,registry_status</t>
        </is>
      </c>
      <c r="G55" s="6" t="inlineStr">
        <is>
          <t>Yes</t>
        </is>
      </c>
      <c r="H55" s="6" t="inlineStr">
        <is>
          <t>M03-6 §5.1; §15</t>
        </is>
      </c>
      <c r="I55" s="6" t="inlineStr">
        <is>
          <t>Active GSTIN earns “GST registered” (M03-2 TRS-012)</t>
        </is>
      </c>
    </row>
    <row r="56">
      <c r="A56" s="6" t="inlineStr">
        <is>
          <t>Wizard 2 · Business details (S04)</t>
        </is>
      </c>
      <c r="B56" s="6" t="inlineStr">
        <is>
          <t>PAN</t>
        </is>
      </c>
      <c r="C56" s="6" t="inlineStr">
        <is>
          <t>Keep (optional)</t>
        </is>
      </c>
      <c r="D56" s="13" t="inlineStr">
        <is>
          <t>Covered</t>
        </is>
      </c>
      <c r="E56" s="6" t="inlineStr">
        <is>
          <t>Yes</t>
        </is>
      </c>
      <c r="F56" s="6" t="inlineStr">
        <is>
          <t>M03-5 §3.2 business_registrations.registration_type</t>
        </is>
      </c>
      <c r="G56" s="6" t="inlineStr">
        <is>
          <t>Yes</t>
        </is>
      </c>
      <c r="H56" s="6" t="inlineStr">
        <is>
          <t>M03-6 §5.1</t>
        </is>
      </c>
      <c r="I56" s="6" t="inlineStr">
        <is>
          <t>PAN is private (never public).</t>
        </is>
      </c>
    </row>
    <row r="57">
      <c r="A57" s="6" t="inlineStr">
        <is>
          <t>Wizard 2 · Business details (S04)</t>
        </is>
      </c>
      <c r="B57" s="6" t="inlineStr">
        <is>
          <t>Company number (CIN or LLPIN)</t>
        </is>
      </c>
      <c r="C57" s="6" t="inlineStr">
        <is>
          <t>Add</t>
        </is>
      </c>
      <c r="D57" s="13" t="inlineStr">
        <is>
          <t>Covered</t>
        </is>
      </c>
      <c r="E57" s="6" t="inlineStr">
        <is>
          <t>Yes</t>
        </is>
      </c>
      <c r="F57" s="6" t="inlineStr">
        <is>
          <t>M03-5 §3.2 business_registrations.registration_type</t>
        </is>
      </c>
      <c r="G57" s="6" t="inlineStr">
        <is>
          <t>Yes</t>
        </is>
      </c>
      <c r="H57" s="6" t="inlineStr">
        <is>
          <t>M03-6 §5.1</t>
        </is>
      </c>
      <c r="I57" s="6" t="inlineStr"/>
    </row>
    <row r="58">
      <c r="A58" s="6" t="inlineStr">
        <is>
          <t>Wizard 2 · Business details (S04)</t>
        </is>
      </c>
      <c r="B58" s="6" t="inlineStr">
        <is>
          <t>Udyam number (Udyam Assist accepted)</t>
        </is>
      </c>
      <c r="C58" s="6" t="inlineStr">
        <is>
          <t>Add</t>
        </is>
      </c>
      <c r="D58" s="13" t="inlineStr">
        <is>
          <t>Covered</t>
        </is>
      </c>
      <c r="E58" s="6" t="inlineStr">
        <is>
          <t>Yes</t>
        </is>
      </c>
      <c r="F58" s="6" t="inlineStr">
        <is>
          <t>M03-5 §3.2 business_registrations.registration_type</t>
        </is>
      </c>
      <c r="G58" s="6" t="inlineStr">
        <is>
          <t>Yes</t>
        </is>
      </c>
      <c r="H58" s="6" t="inlineStr">
        <is>
          <t>M03-6 §5.1</t>
        </is>
      </c>
      <c r="I58" s="6" t="inlineStr"/>
    </row>
    <row r="59">
      <c r="A59" s="6" t="inlineStr">
        <is>
          <t>Wizard 2 · Business details (S04)</t>
        </is>
      </c>
      <c r="B59" s="6" t="inlineStr">
        <is>
          <t>Rule: add at least one of GSTIN, company number, Udyam</t>
        </is>
      </c>
      <c r="C59" s="6" t="inlineStr">
        <is>
          <t>Add</t>
        </is>
      </c>
      <c r="D59" s="13" t="inlineStr">
        <is>
          <t>Covered</t>
        </is>
      </c>
      <c r="E59" s="6" t="inlineStr">
        <is>
          <t>Yes</t>
        </is>
      </c>
      <c r="F59" s="6" t="inlineStr">
        <is>
          <t>M03-5 §3.1 country_id_rules.requirement,group_key</t>
        </is>
      </c>
      <c r="G59" s="6" t="inlineStr">
        <is>
          <t>Yes</t>
        </is>
      </c>
      <c r="H59" s="6" t="inlineStr">
        <is>
          <t>M03-6 §5.1</t>
        </is>
      </c>
      <c r="I59" s="6" t="inlineStr">
        <is>
          <t>Group hint</t>
        </is>
      </c>
    </row>
    <row r="60">
      <c r="A60" s="6" t="inlineStr">
        <is>
          <t>Wizard 2 · Business details (S04)</t>
        </is>
      </c>
      <c r="B60" s="6" t="inlineStr">
        <is>
          <t>Trade licence number — Figma 'Trade License No.'</t>
        </is>
      </c>
      <c r="C60" s="6" t="inlineStr">
        <is>
          <t>Change (only where the country rule has it, e.g. UAE)</t>
        </is>
      </c>
      <c r="D60" s="13" t="inlineStr">
        <is>
          <t>Covered</t>
        </is>
      </c>
      <c r="E60" s="6" t="inlineStr">
        <is>
          <t>Yes</t>
        </is>
      </c>
      <c r="F60" s="6" t="inlineStr">
        <is>
          <t>M03-5 §3.2 business_registrations.registration_type</t>
        </is>
      </c>
      <c r="G60" s="6" t="inlineStr">
        <is>
          <t>Yes</t>
        </is>
      </c>
      <c r="H60" s="6" t="inlineStr">
        <is>
          <t>M03-6 §5.1</t>
        </is>
      </c>
      <c r="I60" s="6" t="inlineStr"/>
    </row>
    <row r="61">
      <c r="A61" s="6" t="inlineStr">
        <is>
          <t>Wizard 2 · Business details (S04)</t>
        </is>
      </c>
      <c r="B61" s="6" t="inlineStr">
        <is>
          <t>Issuing authority (UAE)</t>
        </is>
      </c>
      <c r="C61" s="6" t="inlineStr">
        <is>
          <t>Add</t>
        </is>
      </c>
      <c r="D61" s="13" t="inlineStr">
        <is>
          <t>Covered</t>
        </is>
      </c>
      <c r="E61" s="6" t="inlineStr">
        <is>
          <t>Yes</t>
        </is>
      </c>
      <c r="F61" s="6" t="inlineStr">
        <is>
          <t>M03-5 §3.2 business_registrations.issuing_authority; §3.1 country_id_rules.id_type = trade_licence_authority</t>
        </is>
      </c>
      <c r="G61" s="6" t="inlineStr">
        <is>
          <t>Yes</t>
        </is>
      </c>
      <c r="H61" s="6" t="inlineStr">
        <is>
          <t>M03-6 §5.1</t>
        </is>
      </c>
      <c r="I61" s="6" t="inlineStr">
        <is>
          <t>M03-2 BUS-021</t>
        </is>
      </c>
    </row>
    <row r="62">
      <c r="A62" s="6" t="inlineStr">
        <is>
          <t>Wizard 2 · Business details (S04)</t>
        </is>
      </c>
      <c r="B62" s="6" t="inlineStr">
        <is>
          <t>Licence expiry date (UAE)</t>
        </is>
      </c>
      <c r="C62" s="6" t="inlineStr">
        <is>
          <t>Add</t>
        </is>
      </c>
      <c r="D62" s="13" t="inlineStr">
        <is>
          <t>Covered</t>
        </is>
      </c>
      <c r="E62" s="6" t="inlineStr">
        <is>
          <t>Yes</t>
        </is>
      </c>
      <c r="F62" s="6" t="inlineStr">
        <is>
          <t>M03-5 §3.2 business_registrations.valid_until</t>
        </is>
      </c>
      <c r="G62" s="6" t="inlineStr">
        <is>
          <t>Yes</t>
        </is>
      </c>
      <c r="H62" s="6" t="inlineStr">
        <is>
          <t>M03-6 §5.1</t>
        </is>
      </c>
      <c r="I62" s="6" t="inlineStr"/>
    </row>
    <row r="63">
      <c r="A63" s="6" t="inlineStr">
        <is>
          <t>Wizard 2 · Business details (S04)</t>
        </is>
      </c>
      <c r="B63" s="6" t="inlineStr">
        <is>
          <t>TRN (UAE) · CR number + VAT number (Saudi Arabia)</t>
        </is>
      </c>
      <c r="C63" s="6" t="inlineStr">
        <is>
          <t>Add</t>
        </is>
      </c>
      <c r="D63" s="13" t="inlineStr">
        <is>
          <t>Covered</t>
        </is>
      </c>
      <c r="E63" s="6" t="inlineStr">
        <is>
          <t>Yes</t>
        </is>
      </c>
      <c r="F63" s="6" t="inlineStr">
        <is>
          <t>M03-5 §3.2 business_registrations.registration_type</t>
        </is>
      </c>
      <c r="G63" s="6" t="inlineStr">
        <is>
          <t>Yes</t>
        </is>
      </c>
      <c r="H63" s="6" t="inlineStr">
        <is>
          <t>M03-6 §5.1</t>
        </is>
      </c>
      <c r="I63" s="6" t="inlineStr"/>
    </row>
    <row r="64">
      <c r="A64" s="6" t="inlineStr">
        <is>
          <t>Wizard 2 · Business details (S04)</t>
        </is>
      </c>
      <c r="B64" s="6" t="inlineStr">
        <is>
          <t>Other countries: Registration number · Registering authority · Tax number</t>
        </is>
      </c>
      <c r="C64" s="6" t="inlineStr">
        <is>
          <t>Add</t>
        </is>
      </c>
      <c r="D64" s="13" t="inlineStr">
        <is>
          <t>Covered</t>
        </is>
      </c>
      <c r="E64" s="6" t="inlineStr">
        <is>
          <t>Yes</t>
        </is>
      </c>
      <c r="F64" s="6" t="inlineStr">
        <is>
          <t>M03-5 §3.2 business_registrations.registration_type</t>
        </is>
      </c>
      <c r="G64" s="6" t="inlineStr">
        <is>
          <t>Yes</t>
        </is>
      </c>
      <c r="H64" s="6" t="inlineStr">
        <is>
          <t>M03-6 §5.1</t>
        </is>
      </c>
      <c r="I64" s="6" t="inlineStr"/>
    </row>
    <row r="65">
      <c r="A65" s="6" t="inlineStr">
        <is>
          <t>Wizard 2 · Business details (S04)</t>
        </is>
      </c>
      <c r="B65" s="6" t="inlineStr">
        <is>
          <t>Export licence / IEC</t>
        </is>
      </c>
      <c r="C65" s="6" t="inlineStr">
        <is>
          <t>Change (not in S04; link to new 'Export permitted' badge)</t>
        </is>
      </c>
      <c r="D65" s="13" t="inlineStr">
        <is>
          <t>Covered</t>
        </is>
      </c>
      <c r="E65" s="6" t="inlineStr">
        <is>
          <t>Yes</t>
        </is>
      </c>
      <c r="F65" s="6" t="inlineStr">
        <is>
          <t>M03-5 §3.2 business_registrations.registration_type = iec,number_encrypted,number_hash,number_masked; §3.1 country_id_rules.id_type = iec</t>
        </is>
      </c>
      <c r="G65" s="6" t="inlineStr">
        <is>
          <t>Yes</t>
        </is>
      </c>
      <c r="H65" s="6" t="inlineStr">
        <is>
          <t>M03-6 §5.1; §15</t>
        </is>
      </c>
      <c r="I65" s="6" t="inlineStr">
        <is>
          <t>M03-2 BUS-020; optional, exporters only</t>
        </is>
      </c>
    </row>
    <row r="66">
      <c r="A66" s="6" t="inlineStr">
        <is>
          <t>Wizard 2 · Business details (S04)</t>
        </is>
      </c>
      <c r="B66" s="6" t="inlineStr">
        <is>
          <t>Check with the registry (consent) · 'We found your business'</t>
        </is>
      </c>
      <c r="C66" s="6" t="inlineStr">
        <is>
          <t>Add</t>
        </is>
      </c>
      <c r="D66" s="13" t="inlineStr">
        <is>
          <t>Covered</t>
        </is>
      </c>
      <c r="E66" s="6" t="inlineStr">
        <is>
          <t>Yes</t>
        </is>
      </c>
      <c r="F66" s="6" t="inlineStr">
        <is>
          <t>M03-5 §4.5 verification_consents.check_type; M03-5 §3.2 business_registrations.registry_consent_id,registry_result,registry_status,registered_name,registered_name_en,registered_legal_form,registration_date,registered_address,registry_checked_at</t>
        </is>
      </c>
      <c r="G66" s="6" t="inlineStr">
        <is>
          <t>Yes</t>
        </is>
      </c>
      <c r="H66" s="6" t="inlineStr">
        <is>
          <t>M03-6 §5.1</t>
        </is>
      </c>
      <c r="I66" s="6" t="inlineStr"/>
    </row>
    <row r="67">
      <c r="A67" s="6" t="inlineStr">
        <is>
          <t>Wizard 2 · Business details (S04)</t>
        </is>
      </c>
      <c r="B67" s="6" t="inlineStr">
        <is>
          <t>Legal name (as registered) + English spelling</t>
        </is>
      </c>
      <c r="C67" s="6" t="inlineStr">
        <is>
          <t>Keep (shown next to store name)</t>
        </is>
      </c>
      <c r="D67" s="13" t="inlineStr">
        <is>
          <t>Covered</t>
        </is>
      </c>
      <c r="E67" s="6" t="inlineStr">
        <is>
          <t>Yes</t>
        </is>
      </c>
      <c r="F67" s="6" t="inlineStr">
        <is>
          <t>M03-5 §2.1 profiles.legal_name,legal_name_en,legal_name_locked_at</t>
        </is>
      </c>
      <c r="G67" s="6" t="inlineStr">
        <is>
          <t>Yes</t>
        </is>
      </c>
      <c r="H67" s="6" t="inlineStr">
        <is>
          <t>M03-6 §5.2; §12</t>
        </is>
      </c>
      <c r="I67" s="6" t="inlineStr"/>
    </row>
    <row r="68">
      <c r="A68" s="6" t="inlineStr">
        <is>
          <t>Wizard 2 · Business details (S04)</t>
        </is>
      </c>
      <c r="B68" s="6" t="inlineStr">
        <is>
          <t>Type of business (legal form)</t>
        </is>
      </c>
      <c r="C68" s="6" t="inlineStr">
        <is>
          <t>Add</t>
        </is>
      </c>
      <c r="D68" s="13" t="inlineStr">
        <is>
          <t>Covered</t>
        </is>
      </c>
      <c r="E68" s="6" t="inlineStr">
        <is>
          <t>Yes</t>
        </is>
      </c>
      <c r="F68" s="6" t="inlineStr">
        <is>
          <t>M03-5 §2.1 profiles.legal_form</t>
        </is>
      </c>
      <c r="G68" s="6" t="inlineStr">
        <is>
          <t>Yes</t>
        </is>
      </c>
      <c r="H68" s="6" t="inlineStr">
        <is>
          <t>M03-6 §5.2</t>
        </is>
      </c>
      <c r="I68" s="6" t="inlineStr"/>
    </row>
    <row r="69">
      <c r="A69" s="6" t="inlineStr">
        <is>
          <t>Wizard 2 · Business details (S04)</t>
        </is>
      </c>
      <c r="B69" s="6" t="inlineStr">
        <is>
          <t>Business phone</t>
        </is>
      </c>
      <c r="C69" s="6" t="inlineStr">
        <is>
          <t>Add</t>
        </is>
      </c>
      <c r="D69" s="13" t="inlineStr">
        <is>
          <t>Covered</t>
        </is>
      </c>
      <c r="E69" s="6" t="inlineStr">
        <is>
          <t>Yes</t>
        </is>
      </c>
      <c r="F69" s="6" t="inlineStr">
        <is>
          <t>M03-5 §3.6 profile_contacts.contact_type,value,confirmed_at</t>
        </is>
      </c>
      <c r="G69" s="6" t="inlineStr">
        <is>
          <t>Yes</t>
        </is>
      </c>
      <c r="H69" s="6" t="inlineStr">
        <is>
          <t>M03-6 §5.2</t>
        </is>
      </c>
      <c r="I69" s="6" t="inlineStr"/>
    </row>
    <row r="70">
      <c r="A70" s="6" t="inlineStr">
        <is>
          <t>Wizard 2 · Business details (S04)</t>
        </is>
      </c>
      <c r="B70" s="6" t="inlineStr">
        <is>
          <t>Business email</t>
        </is>
      </c>
      <c r="C70" s="6" t="inlineStr">
        <is>
          <t>Add</t>
        </is>
      </c>
      <c r="D70" s="13" t="inlineStr">
        <is>
          <t>Covered</t>
        </is>
      </c>
      <c r="E70" s="6" t="inlineStr">
        <is>
          <t>Yes</t>
        </is>
      </c>
      <c r="F70" s="6" t="inlineStr">
        <is>
          <t>M03-5 §3.6 profile_contacts.contact_type,value,confirmed_at</t>
        </is>
      </c>
      <c r="G70" s="6" t="inlineStr">
        <is>
          <t>Yes</t>
        </is>
      </c>
      <c r="H70" s="6" t="inlineStr">
        <is>
          <t>M03-6 §5.2</t>
        </is>
      </c>
      <c r="I70" s="6" t="inlineStr"/>
    </row>
    <row r="71">
      <c r="A71" s="6" t="inlineStr">
        <is>
          <t>Wizard 2 · Business details (S04)</t>
        </is>
      </c>
      <c r="B71" s="6" t="inlineStr">
        <is>
          <t>Name-mismatch note (registration name ≠ ID name)</t>
        </is>
      </c>
      <c r="C71" s="6" t="inlineStr">
        <is>
          <t>Add</t>
        </is>
      </c>
      <c r="D71" s="13" t="inlineStr">
        <is>
          <t>Covered</t>
        </is>
      </c>
      <c r="E71" s="6" t="inlineStr">
        <is>
          <t>Yes</t>
        </is>
      </c>
      <c r="F71" s="6" t="inlineStr">
        <is>
          <t>M03-5 §3.2 business_registrations.name_mismatch_note,name_mismatch_document_id</t>
        </is>
      </c>
      <c r="G71" s="6" t="inlineStr">
        <is>
          <t>Yes</t>
        </is>
      </c>
      <c r="H71" s="6" t="inlineStr">
        <is>
          <t>M03-6 §5.3</t>
        </is>
      </c>
      <c r="I71" s="6" t="inlineStr">
        <is>
          <t>M03-2 BUS-022; reviewers only</t>
        </is>
      </c>
    </row>
    <row r="72">
      <c r="A72" s="6" t="inlineStr">
        <is>
          <t>Wizard 2b · Authorised person &amp; declaration (S04 step 3)</t>
        </is>
      </c>
      <c r="B72" s="6" t="inlineStr">
        <is>
          <t>I am the authorised person / I act on their behalf</t>
        </is>
      </c>
      <c r="C72" s="6" t="inlineStr">
        <is>
          <t>Add</t>
        </is>
      </c>
      <c r="D72" s="13" t="inlineStr">
        <is>
          <t>Covered</t>
        </is>
      </c>
      <c r="E72" s="6" t="inlineStr">
        <is>
          <t>Yes</t>
        </is>
      </c>
      <c r="F72" s="6" t="inlineStr">
        <is>
          <t>M03-5 §3.3 authorised_persons.is_account_holder,account_id</t>
        </is>
      </c>
      <c r="G72" s="6" t="inlineStr">
        <is>
          <t>Yes</t>
        </is>
      </c>
      <c r="H72" s="6" t="inlineStr">
        <is>
          <t>M03-6 §5.3</t>
        </is>
      </c>
      <c r="I72" s="6" t="inlineStr"/>
    </row>
    <row r="73">
      <c r="A73" s="6" t="inlineStr">
        <is>
          <t>Wizard 2b · Authorised person &amp; declaration (S04 step 3)</t>
        </is>
      </c>
      <c r="B73" s="6" t="inlineStr">
        <is>
          <t>Full name (as on their ID) — Figma 'Authorized Representative'</t>
        </is>
      </c>
      <c r="C73" s="6" t="inlineStr">
        <is>
          <t>Keep (label)</t>
        </is>
      </c>
      <c r="D73" s="13" t="inlineStr">
        <is>
          <t>Covered</t>
        </is>
      </c>
      <c r="E73" s="6" t="inlineStr">
        <is>
          <t>Yes</t>
        </is>
      </c>
      <c r="F73" s="6" t="inlineStr">
        <is>
          <t>M03-5 §3.3 authorised_persons.full_name_as_on_id,name_local</t>
        </is>
      </c>
      <c r="G73" s="6" t="inlineStr">
        <is>
          <t>Yes</t>
        </is>
      </c>
      <c r="H73" s="6" t="inlineStr">
        <is>
          <t>M03-6 §5.3</t>
        </is>
      </c>
      <c r="I73" s="6" t="inlineStr"/>
    </row>
    <row r="74">
      <c r="A74" s="6" t="inlineStr">
        <is>
          <t>Wizard 2b · Authorised person &amp; declaration (S04 step 3)</t>
        </is>
      </c>
      <c r="B74" s="6" t="inlineStr">
        <is>
          <t>Designation</t>
        </is>
      </c>
      <c r="C74" s="6" t="inlineStr">
        <is>
          <t>Add</t>
        </is>
      </c>
      <c r="D74" s="13" t="inlineStr">
        <is>
          <t>Covered</t>
        </is>
      </c>
      <c r="E74" s="6" t="inlineStr">
        <is>
          <t>Yes</t>
        </is>
      </c>
      <c r="F74" s="6" t="inlineStr">
        <is>
          <t>M03-5 §3.3 authorised_persons.designation,designation_text</t>
        </is>
      </c>
      <c r="G74" s="6" t="inlineStr">
        <is>
          <t>Yes</t>
        </is>
      </c>
      <c r="H74" s="6" t="inlineStr">
        <is>
          <t>M03-6 §5.3</t>
        </is>
      </c>
      <c r="I74" s="6" t="inlineStr"/>
    </row>
    <row r="75">
      <c r="A75" s="6" t="inlineStr">
        <is>
          <t>Wizard 2b · Authorised person &amp; declaration (S04 step 3)</t>
        </is>
      </c>
      <c r="B75" s="6" t="inlineStr">
        <is>
          <t>Their relationship to you</t>
        </is>
      </c>
      <c r="C75" s="6" t="inlineStr">
        <is>
          <t>Add</t>
        </is>
      </c>
      <c r="D75" s="13" t="inlineStr">
        <is>
          <t>Covered</t>
        </is>
      </c>
      <c r="E75" s="6" t="inlineStr">
        <is>
          <t>Yes</t>
        </is>
      </c>
      <c r="F75" s="6" t="inlineStr">
        <is>
          <t>M03-5 §3.3 authorised_persons.relationship</t>
        </is>
      </c>
      <c r="G75" s="6" t="inlineStr">
        <is>
          <t>Yes</t>
        </is>
      </c>
      <c r="H75" s="6" t="inlineStr">
        <is>
          <t>M03-6 §5.3</t>
        </is>
      </c>
      <c r="I75" s="6" t="inlineStr"/>
    </row>
    <row r="76">
      <c r="A76" s="6" t="inlineStr">
        <is>
          <t>Wizard 2b · Authorised person &amp; declaration (S04 step 3)</t>
        </is>
      </c>
      <c r="B76" s="6" t="inlineStr">
        <is>
          <t>Their mobile number — Figma 'Authorized Rep Mobile + Request OTP'</t>
        </is>
      </c>
      <c r="C76" s="6" t="inlineStr">
        <is>
          <t>Change (only when someone else; secure link, not a code here)</t>
        </is>
      </c>
      <c r="D76" s="13" t="inlineStr">
        <is>
          <t>Covered</t>
        </is>
      </c>
      <c r="E76" s="6" t="inlineStr">
        <is>
          <t>Yes</t>
        </is>
      </c>
      <c r="F76" s="6" t="inlineStr">
        <is>
          <t>M03-5 §3.3 authorised_persons.contact_phone; M03-5 §4.4 identity_checks.remote_link_token_hash,remote_link_expires_at,remote_link_status</t>
        </is>
      </c>
      <c r="G76" s="6" t="inlineStr">
        <is>
          <t>Yes</t>
        </is>
      </c>
      <c r="H76" s="6" t="inlineStr">
        <is>
          <t>M03-6 §5.3; §7</t>
        </is>
      </c>
      <c r="I76" s="6" t="inlineStr"/>
    </row>
    <row r="77">
      <c r="A77" s="6" t="inlineStr">
        <is>
          <t>Wizard 2b · Authorised person &amp; declaration (S04 step 3)</t>
        </is>
      </c>
      <c r="B77" s="6" t="inlineStr">
        <is>
          <t>Their email</t>
        </is>
      </c>
      <c r="C77" s="6" t="inlineStr">
        <is>
          <t>Add</t>
        </is>
      </c>
      <c r="D77" s="13" t="inlineStr">
        <is>
          <t>Covered</t>
        </is>
      </c>
      <c r="E77" s="6" t="inlineStr">
        <is>
          <t>Yes</t>
        </is>
      </c>
      <c r="F77" s="6" t="inlineStr">
        <is>
          <t>M03-5 §3.3 authorised_persons.contact_email</t>
        </is>
      </c>
      <c r="G77" s="6" t="inlineStr">
        <is>
          <t>Yes</t>
        </is>
      </c>
      <c r="H77" s="6" t="inlineStr">
        <is>
          <t>M03-6 §5.3</t>
        </is>
      </c>
      <c r="I77" s="6" t="inlineStr"/>
    </row>
    <row r="78">
      <c r="A78" s="6" t="inlineStr">
        <is>
          <t>Wizard 2b · Authorised person &amp; declaration (S04 step 3)</t>
        </is>
      </c>
      <c r="B78" s="6" t="inlineStr">
        <is>
          <t>Proof of authority (board resolution / authority letter)</t>
        </is>
      </c>
      <c r="C78" s="6" t="inlineStr">
        <is>
          <t>Add</t>
        </is>
      </c>
      <c r="D78" s="13" t="inlineStr">
        <is>
          <t>Covered</t>
        </is>
      </c>
      <c r="E78" s="6" t="inlineStr">
        <is>
          <t>Yes</t>
        </is>
      </c>
      <c r="F78" s="6" t="inlineStr">
        <is>
          <t>M03-5 §3.3 authorised_persons.authority_document_id; M03-5 §4.3 verification_documents.slot_key</t>
        </is>
      </c>
      <c r="G78" s="6" t="inlineStr">
        <is>
          <t>Yes</t>
        </is>
      </c>
      <c r="H78" s="6" t="inlineStr">
        <is>
          <t>M03-6 §5.3; §8.1</t>
        </is>
      </c>
      <c r="I78" s="6" t="inlineStr">
        <is>
          <t>Template in §5.3; upload in the proof_of_authority slot (§8.1)</t>
        </is>
      </c>
    </row>
    <row r="79">
      <c r="A79" s="6" t="inlineStr">
        <is>
          <t>Wizard 2b · Authorised person &amp; declaration (S04 step 3)</t>
        </is>
      </c>
      <c r="B79" s="6" t="inlineStr">
        <is>
          <t>Compliance declaration</t>
        </is>
      </c>
      <c r="C79" s="6" t="inlineStr">
        <is>
          <t>Add</t>
        </is>
      </c>
      <c r="D79" s="13" t="inlineStr">
        <is>
          <t>Covered</t>
        </is>
      </c>
      <c r="E79" s="6" t="inlineStr">
        <is>
          <t>Yes</t>
        </is>
      </c>
      <c r="F79" s="6" t="inlineStr">
        <is>
          <t>M03-5 §3.4 compliance_declarations.declaration_type,clauses,text_version,language,accepted_at,account_id,channel,ip</t>
        </is>
      </c>
      <c r="G79" s="6" t="inlineStr">
        <is>
          <t>Yes</t>
        </is>
      </c>
      <c r="H79" s="6" t="inlineStr">
        <is>
          <t>M03-6 §5.3; §15</t>
        </is>
      </c>
      <c r="I79" s="6" t="inlineStr"/>
    </row>
    <row r="80">
      <c r="A80" s="6" t="inlineStr">
        <is>
          <t>Wizard 3 · What I buy / What I offer</t>
        </is>
      </c>
      <c r="B80" s="6" t="inlineStr">
        <is>
          <t>What I buy (categories)</t>
        </is>
      </c>
      <c r="C80" s="6" t="inlineStr">
        <is>
          <t>Change (split from single 'Area of Interest')</t>
        </is>
      </c>
      <c r="D80" s="13" t="inlineStr">
        <is>
          <t>Covered</t>
        </is>
      </c>
      <c r="E80" s="6" t="inlineStr">
        <is>
          <t>Yes</t>
        </is>
      </c>
      <c r="F80" s="6" t="inlineStr">
        <is>
          <t>M03-5 §8.1 profile_interests.direction,top_category_code,taxonomy_node_id</t>
        </is>
      </c>
      <c r="G80" s="6" t="inlineStr">
        <is>
          <t>Yes</t>
        </is>
      </c>
      <c r="H80" s="6" t="inlineStr">
        <is>
          <t>M03-6 §12; §11</t>
        </is>
      </c>
      <c r="I80" s="6" t="inlineStr"/>
    </row>
    <row r="81">
      <c r="A81" s="6" t="inlineStr">
        <is>
          <t>Wizard 3 · What I buy / What I offer</t>
        </is>
      </c>
      <c r="B81" s="6" t="inlineStr">
        <is>
          <t>What I offer (categories)</t>
        </is>
      </c>
      <c r="C81" s="6" t="inlineStr">
        <is>
          <t>Change (role-allowed categories only)</t>
        </is>
      </c>
      <c r="D81" s="13" t="inlineStr">
        <is>
          <t>Covered</t>
        </is>
      </c>
      <c r="E81" s="6" t="inlineStr">
        <is>
          <t>Yes</t>
        </is>
      </c>
      <c r="F81" s="6" t="inlineStr">
        <is>
          <t>M03-5 §8.1 profile_interests.direction,top_category_code</t>
        </is>
      </c>
      <c r="G81" s="6" t="inlineStr">
        <is>
          <t>Yes</t>
        </is>
      </c>
      <c r="H81" s="6" t="inlineStr">
        <is>
          <t>M03-6 §12</t>
        </is>
      </c>
      <c r="I81" s="6" t="inlineStr">
        <is>
          <t>Offer panel doesn't say it lists only the role's allowed categories (PRD-TAX-005) Wording added 24 Sep 2026.</t>
        </is>
      </c>
    </row>
    <row r="82">
      <c r="A82" s="6" t="inlineStr">
        <is>
          <t>Wizard 3 · What I buy / What I offer</t>
        </is>
      </c>
      <c r="B82" s="6" t="inlineStr">
        <is>
          <t>How is it produced? (Cultivated · Inoculated · Processed · Mixed)</t>
        </is>
      </c>
      <c r="C82" s="6" t="inlineStr">
        <is>
          <t>Add</t>
        </is>
      </c>
      <c r="D82" s="13" t="inlineStr">
        <is>
          <t>Covered</t>
        </is>
      </c>
      <c r="E82" s="6" t="inlineStr">
        <is>
          <t>Yes</t>
        </is>
      </c>
      <c r="F82" s="6" t="inlineStr">
        <is>
          <t>M03-5 §8.1 profile_interests.attributes</t>
        </is>
      </c>
      <c r="G82" s="6" t="inlineStr">
        <is>
          <t>Yes</t>
        </is>
      </c>
      <c r="H82" s="6" t="inlineStr">
        <is>
          <t>M03-6 §12</t>
        </is>
      </c>
      <c r="I82" s="6" t="inlineStr"/>
    </row>
    <row r="83">
      <c r="A83" s="6" t="inlineStr">
        <is>
          <t>Wizard 3 · What I buy / What I offer</t>
        </is>
      </c>
      <c r="B83" s="6" t="inlineStr">
        <is>
          <t>How much can you supply? (Small batches · Steady · Bulk)</t>
        </is>
      </c>
      <c r="C83" s="6" t="inlineStr">
        <is>
          <t>Add</t>
        </is>
      </c>
      <c r="D83" s="13" t="inlineStr">
        <is>
          <t>Covered</t>
        </is>
      </c>
      <c r="E83" s="6" t="inlineStr">
        <is>
          <t>Yes</t>
        </is>
      </c>
      <c r="F83" s="6" t="inlineStr">
        <is>
          <t>M03-5 §8.1 profile_interests.attributes</t>
        </is>
      </c>
      <c r="G83" s="6" t="inlineStr">
        <is>
          <t>Yes</t>
        </is>
      </c>
      <c r="H83" s="6" t="inlineStr">
        <is>
          <t>M03-6 §12</t>
        </is>
      </c>
      <c r="I83" s="6" t="inlineStr"/>
    </row>
    <row r="84">
      <c r="A84" s="6" t="inlineStr">
        <is>
          <t>Wizard 3 · What I buy / What I offer</t>
        </is>
      </c>
      <c r="B84" s="6" t="inlineStr">
        <is>
          <t>Interested in export?</t>
        </is>
      </c>
      <c r="C84" s="6" t="inlineStr">
        <is>
          <t>Add</t>
        </is>
      </c>
      <c r="D84" s="13" t="inlineStr">
        <is>
          <t>Covered</t>
        </is>
      </c>
      <c r="E84" s="6" t="inlineStr">
        <is>
          <t>Yes</t>
        </is>
      </c>
      <c r="F84" s="6" t="inlineStr">
        <is>
          <t>M03-5 §8.1 profile_interests.attributes</t>
        </is>
      </c>
      <c r="G84" s="6" t="inlineStr">
        <is>
          <t>Yes</t>
        </is>
      </c>
      <c r="H84" s="6" t="inlineStr">
        <is>
          <t>M03-6 §12</t>
        </is>
      </c>
      <c r="I84" s="6" t="inlineStr"/>
    </row>
    <row r="85">
      <c r="A85" s="6" t="inlineStr">
        <is>
          <t>Wizard 3 · What I buy / What I offer</t>
        </is>
      </c>
      <c r="B85" s="6" t="inlineStr">
        <is>
          <t>Yearly supply (wood, chips, oil) + where it comes from</t>
        </is>
      </c>
      <c r="C85" s="6" t="inlineStr">
        <is>
          <t>Add</t>
        </is>
      </c>
      <c r="D85" s="13" t="inlineStr">
        <is>
          <t>Covered</t>
        </is>
      </c>
      <c r="E85" s="6" t="inlineStr">
        <is>
          <t>Yes</t>
        </is>
      </c>
      <c r="F85" s="6" t="inlineStr">
        <is>
          <t>M03-5 §7.1 supply_declarations.product_type,yearly_capacity,unit_code,source_types,import_countries</t>
        </is>
      </c>
      <c r="G85" s="6" t="inlineStr">
        <is>
          <t>Yes</t>
        </is>
      </c>
      <c r="H85" s="6" t="inlineStr">
        <is>
          <t>M03-6 §12; §3.1</t>
        </is>
      </c>
      <c r="I85" s="6" t="inlineStr"/>
    </row>
    <row r="86">
      <c r="A86" s="6" t="inlineStr">
        <is>
          <t>Wizard 4 · Documents (S07)</t>
        </is>
      </c>
      <c r="B86" s="6" t="inlineStr">
        <is>
          <t>Document checklist slots (per role + country)</t>
        </is>
      </c>
      <c r="C86" s="6" t="inlineStr">
        <is>
          <t>Change (replaces free 'Add additional documents')</t>
        </is>
      </c>
      <c r="D86" s="13" t="inlineStr">
        <is>
          <t>Covered</t>
        </is>
      </c>
      <c r="E86" s="6" t="inlineStr">
        <is>
          <t>Yes</t>
        </is>
      </c>
      <c r="F86" s="6" t="inlineStr">
        <is>
          <t>M03-5 §4.1 document_checklists.slot_key; M03-5 §4.2 verification_cases.checklist_country,checklist_version,is_fallback_checklist</t>
        </is>
      </c>
      <c r="G86" s="6" t="inlineStr">
        <is>
          <t>Yes</t>
        </is>
      </c>
      <c r="H86" s="6" t="inlineStr">
        <is>
          <t>M03-6 §8.1</t>
        </is>
      </c>
      <c r="I86" s="6" t="inlineStr"/>
    </row>
    <row r="87">
      <c r="A87" s="6" t="inlineStr">
        <is>
          <t>Wizard 4 · Documents (S07)</t>
        </is>
      </c>
      <c r="B87" s="6" t="inlineStr">
        <is>
          <t>Document type</t>
        </is>
      </c>
      <c r="C87" s="6" t="inlineStr">
        <is>
          <t>Keep (choose from the slot's accepted types)</t>
        </is>
      </c>
      <c r="D87" s="13" t="inlineStr">
        <is>
          <t>Covered</t>
        </is>
      </c>
      <c r="E87" s="6" t="inlineStr">
        <is>
          <t>Yes</t>
        </is>
      </c>
      <c r="F87" s="6" t="inlineStr">
        <is>
          <t>M03-5 §4.3 verification_documents.slot_key,document_type</t>
        </is>
      </c>
      <c r="G87" s="6" t="inlineStr">
        <is>
          <t>Yes</t>
        </is>
      </c>
      <c r="H87" s="6" t="inlineStr">
        <is>
          <t>M03-6 §8.1</t>
        </is>
      </c>
      <c r="I87" s="6" t="inlineStr">
        <is>
          <t>“Which document is this?” (M03-2 DOC-026)</t>
        </is>
      </c>
    </row>
    <row r="88">
      <c r="A88" s="6" t="inlineStr">
        <is>
          <t>Wizard 4 · Documents (S07)</t>
        </is>
      </c>
      <c r="B88" s="6" t="inlineStr">
        <is>
          <t>Document number</t>
        </is>
      </c>
      <c r="C88" s="6" t="inlineStr">
        <is>
          <t>Keep (optional, masked)</t>
        </is>
      </c>
      <c r="D88" s="13" t="inlineStr">
        <is>
          <t>Covered</t>
        </is>
      </c>
      <c r="E88" s="6" t="inlineStr">
        <is>
          <t>Yes</t>
        </is>
      </c>
      <c r="F88" s="6" t="inlineStr">
        <is>
          <t>M03-5 §4.3 verification_documents.number_encrypted,number_hash,number_masked</t>
        </is>
      </c>
      <c r="G88" s="6" t="inlineStr">
        <is>
          <t>Yes</t>
        </is>
      </c>
      <c r="H88" s="6" t="inlineStr">
        <is>
          <t>M03-6 §8.1</t>
        </is>
      </c>
      <c r="I88" s="6" t="inlineStr">
        <is>
          <t>Shown masked (M03-2 DOC-026)</t>
        </is>
      </c>
    </row>
    <row r="89">
      <c r="A89" s="6" t="inlineStr">
        <is>
          <t>Wizard 4 · Documents (S07)</t>
        </is>
      </c>
      <c r="B89" s="6" t="inlineStr">
        <is>
          <t>Issue date</t>
        </is>
      </c>
      <c r="C89" s="6" t="inlineStr">
        <is>
          <t>Keep</t>
        </is>
      </c>
      <c r="D89" s="13" t="inlineStr">
        <is>
          <t>Covered</t>
        </is>
      </c>
      <c r="E89" s="6" t="inlineStr">
        <is>
          <t>Yes</t>
        </is>
      </c>
      <c r="F89" s="6" t="inlineStr">
        <is>
          <t>M03-5 §4.3 verification_documents.issue_date</t>
        </is>
      </c>
      <c r="G89" s="6" t="inlineStr">
        <is>
          <t>Yes</t>
        </is>
      </c>
      <c r="H89" s="6" t="inlineStr">
        <is>
          <t>M03-6 §8.1</t>
        </is>
      </c>
      <c r="I89" s="6" t="inlineStr"/>
    </row>
    <row r="90">
      <c r="A90" s="6" t="inlineStr">
        <is>
          <t>Wizard 4 · Documents (S07)</t>
        </is>
      </c>
      <c r="B90" s="6" t="inlineStr">
        <is>
          <t>Expiry date (as on the document)</t>
        </is>
      </c>
      <c r="C90" s="6" t="inlineStr">
        <is>
          <t>Change (required for expiring types)</t>
        </is>
      </c>
      <c r="D90" s="13" t="inlineStr">
        <is>
          <t>Covered</t>
        </is>
      </c>
      <c r="E90" s="6" t="inlineStr">
        <is>
          <t>Yes</t>
        </is>
      </c>
      <c r="F90" s="6" t="inlineStr">
        <is>
          <t>M03-5 §4.3 verification_documents.expiry_date</t>
        </is>
      </c>
      <c r="G90" s="6" t="inlineStr">
        <is>
          <t>Yes</t>
        </is>
      </c>
      <c r="H90" s="6" t="inlineStr">
        <is>
          <t>M03-6 §8.1</t>
        </is>
      </c>
      <c r="I90" s="6" t="inlineStr"/>
    </row>
    <row r="91">
      <c r="A91" s="6" t="inlineStr">
        <is>
          <t>Wizard 4 · Documents (S07)</t>
        </is>
      </c>
      <c r="B91" s="6" t="inlineStr">
        <is>
          <t>File upload · Take a photo</t>
        </is>
      </c>
      <c r="C91" s="6" t="inlineStr">
        <is>
          <t>Change (PDF, JPG, PNG, HEIC/HEIF, WEBP; 10 pages / 10 MB per document; camera)</t>
        </is>
      </c>
      <c r="D91" s="13" t="inlineStr">
        <is>
          <t>Covered</t>
        </is>
      </c>
      <c r="E91" s="6" t="inlineStr">
        <is>
          <t>Yes</t>
        </is>
      </c>
      <c r="F91" s="6" t="inlineStr">
        <is>
          <t>M03-5 §4.3 verification_documents.file_ids,page_count; M01-5 §2.1 files.purpose,kind</t>
        </is>
      </c>
      <c r="G91" s="6" t="inlineStr">
        <is>
          <t>Yes</t>
        </is>
      </c>
      <c r="H91" s="6" t="inlineStr">
        <is>
          <t>M03-6 §8.1; §20.5</t>
        </is>
      </c>
      <c r="I91" s="6" t="inlineStr">
        <is>
          <t>10 pages per document in DOC_TOO_MANY_PAGES (§20.5)</t>
        </is>
      </c>
    </row>
    <row r="92">
      <c r="A92" s="6" t="inlineStr">
        <is>
          <t>Wizard 4 · Documents (S07)</t>
        </is>
      </c>
      <c r="B92" s="6" t="inlineStr">
        <is>
          <t>Issuing country / region</t>
        </is>
      </c>
      <c r="C92" s="6" t="inlineStr">
        <is>
          <t>Add</t>
        </is>
      </c>
      <c r="D92" s="13" t="inlineStr">
        <is>
          <t>Covered</t>
        </is>
      </c>
      <c r="E92" s="6" t="inlineStr">
        <is>
          <t>Yes</t>
        </is>
      </c>
      <c r="F92" s="6" t="inlineStr">
        <is>
          <t>M03-5 §4.3 verification_documents.issuing_country,issuing_region</t>
        </is>
      </c>
      <c r="G92" s="6" t="inlineStr">
        <is>
          <t>Yes</t>
        </is>
      </c>
      <c r="H92" s="6" t="inlineStr">
        <is>
          <t>M03-6 §8.1</t>
        </is>
      </c>
      <c r="I92" s="6" t="inlineStr">
        <is>
          <t>“Issued in” + state / region (M03-2 DOC-026)</t>
        </is>
      </c>
    </row>
    <row r="93">
      <c r="A93" s="6" t="inlineStr">
        <is>
          <t>Wizard 4 · Documents (S07)</t>
        </is>
      </c>
      <c r="B93" s="6" t="inlineStr">
        <is>
          <t>Optional extra document</t>
        </is>
      </c>
      <c r="C93" s="6" t="inlineStr">
        <is>
          <t>Keep (as 'optional extra')</t>
        </is>
      </c>
      <c r="D93" s="13" t="inlineStr">
        <is>
          <t>Covered</t>
        </is>
      </c>
      <c r="E93" s="6" t="inlineStr">
        <is>
          <t>Yes</t>
        </is>
      </c>
      <c r="F93" s="6" t="inlineStr">
        <is>
          <t>M03-5 §4.1 document_checklists.slot_key = other; §4.3 verification_documents.slot_key,other_title</t>
        </is>
      </c>
      <c r="G93" s="6" t="inlineStr">
        <is>
          <t>Yes</t>
        </is>
      </c>
      <c r="H93" s="6" t="inlineStr">
        <is>
          <t>M03-6 §8.1; §16.5</t>
        </is>
      </c>
      <c r="I93" s="6" t="inlineStr">
        <is>
          <t>M03-2 DOC-027, DOC-028</t>
        </is>
      </c>
    </row>
    <row r="94">
      <c r="A94" s="6" t="inlineStr">
        <is>
          <t>Wizard 4 · Documents (S07)</t>
        </is>
      </c>
      <c r="B94" s="6" t="inlineStr">
        <is>
          <t>Send for review</t>
        </is>
      </c>
      <c r="C94" s="6" t="inlineStr">
        <is>
          <t>Change (dated ETA)</t>
        </is>
      </c>
      <c r="D94" s="13" t="inlineStr">
        <is>
          <t>Covered</t>
        </is>
      </c>
      <c r="E94" s="6" t="inlineStr">
        <is>
          <t>Yes</t>
        </is>
      </c>
      <c r="F94" s="6" t="inlineStr">
        <is>
          <t>M03-5 §4.2 verification_cases.state,submitted_at,due_at,supplier_share_consent_id; M03-5 §4.5 verification_consents.check_type</t>
        </is>
      </c>
      <c r="G94" s="6" t="inlineStr">
        <is>
          <t>Yes</t>
        </is>
      </c>
      <c r="H94" s="6" t="inlineStr">
        <is>
          <t>M03-6 §8.1</t>
        </is>
      </c>
      <c r="I94" s="6" t="inlineStr">
        <is>
          <t>Dated ETA covered; supplier document-share consent dialog not worded</t>
        </is>
      </c>
    </row>
    <row r="95">
      <c r="A95" s="6" t="inlineStr">
        <is>
          <t>Wizard 5 · Locations / sites (S05)</t>
        </is>
      </c>
      <c r="B95" s="6" t="inlineStr">
        <is>
          <t>Use my registered address as my first site</t>
        </is>
      </c>
      <c r="C95" s="6" t="inlineStr">
        <is>
          <t>Add</t>
        </is>
      </c>
      <c r="D95" s="13" t="inlineStr">
        <is>
          <t>Covered</t>
        </is>
      </c>
      <c r="E95" s="6" t="inlineStr">
        <is>
          <t>Yes</t>
        </is>
      </c>
      <c r="F95" s="6" t="inlineStr">
        <is>
          <t>M03-5 §3.5 profile_addresses.source</t>
        </is>
      </c>
      <c r="G95" s="6" t="inlineStr">
        <is>
          <t>Yes</t>
        </is>
      </c>
      <c r="H95" s="6" t="inlineStr">
        <is>
          <t>M03-6 §6</t>
        </is>
      </c>
      <c r="I95" s="6" t="inlineStr"/>
    </row>
    <row r="96">
      <c r="A96" s="6" t="inlineStr">
        <is>
          <t>Wizard 5 · Locations / sites (S05)</t>
        </is>
      </c>
      <c r="B96" s="6" t="inlineStr">
        <is>
          <t>Site type</t>
        </is>
      </c>
      <c r="C96" s="6" t="inlineStr">
        <is>
          <t>Change (Registered office · Office · Plantation · Nursery · Distillery · Factory · Warehouse · Shop · Other)</t>
        </is>
      </c>
      <c r="D96" s="13" t="inlineStr">
        <is>
          <t>Covered</t>
        </is>
      </c>
      <c r="E96" s="6" t="inlineStr">
        <is>
          <t>Yes</t>
        </is>
      </c>
      <c r="F96" s="6" t="inlineStr">
        <is>
          <t>M03-5 §3.5 profile_addresses.address_type</t>
        </is>
      </c>
      <c r="G96" s="6" t="inlineStr">
        <is>
          <t>Yes</t>
        </is>
      </c>
      <c r="H96" s="6" t="inlineStr">
        <is>
          <t>M03-6 §6</t>
        </is>
      </c>
      <c r="I96" s="6" t="inlineStr"/>
    </row>
    <row r="97">
      <c r="A97" s="6" t="inlineStr">
        <is>
          <t>Wizard 5 · Locations / sites (S05)</t>
        </is>
      </c>
      <c r="B97" s="6" t="inlineStr">
        <is>
          <t>Site label</t>
        </is>
      </c>
      <c r="C97" s="6" t="inlineStr">
        <is>
          <t>Keep</t>
        </is>
      </c>
      <c r="D97" s="13" t="inlineStr">
        <is>
          <t>Covered</t>
        </is>
      </c>
      <c r="E97" s="6" t="inlineStr">
        <is>
          <t>Yes</t>
        </is>
      </c>
      <c r="F97" s="6" t="inlineStr">
        <is>
          <t>M03-5 §3.5 profile_addresses.label</t>
        </is>
      </c>
      <c r="G97" s="6" t="inlineStr">
        <is>
          <t>Yes</t>
        </is>
      </c>
      <c r="H97" s="6" t="inlineStr">
        <is>
          <t>M03-6 §6; §15</t>
        </is>
      </c>
      <c r="I97" s="6" t="inlineStr">
        <is>
          <t>“Site name” (M03-2 LOC-007)</t>
        </is>
      </c>
    </row>
    <row r="98">
      <c r="A98" s="6" t="inlineStr">
        <is>
          <t>Wizard 5 · Locations / sites (S05)</t>
        </is>
      </c>
      <c r="B98" s="6" t="inlineStr">
        <is>
          <t>Country</t>
        </is>
      </c>
      <c r="C98" s="6" t="inlineStr">
        <is>
          <t>Keep</t>
        </is>
      </c>
      <c r="D98" s="13" t="inlineStr">
        <is>
          <t>Covered</t>
        </is>
      </c>
      <c r="E98" s="6" t="inlineStr">
        <is>
          <t>Yes</t>
        </is>
      </c>
      <c r="F98" s="6" t="inlineStr">
        <is>
          <t>M03-5 §3.5 profile_addresses.country</t>
        </is>
      </c>
      <c r="G98" s="6" t="inlineStr">
        <is>
          <t>Yes</t>
        </is>
      </c>
      <c r="H98" s="6" t="inlineStr">
        <is>
          <t>M03-6 §6</t>
        </is>
      </c>
      <c r="I98" s="6" t="inlineStr">
        <is>
          <t>Address fields in the country layout</t>
        </is>
      </c>
    </row>
    <row r="99">
      <c r="A99" s="6" t="inlineStr">
        <is>
          <t>Wizard 5 · Locations / sites (S05)</t>
        </is>
      </c>
      <c r="B99" s="6" t="inlineStr">
        <is>
          <t>State</t>
        </is>
      </c>
      <c r="C99" s="6" t="inlineStr">
        <is>
          <t>Keep</t>
        </is>
      </c>
      <c r="D99" s="13" t="inlineStr">
        <is>
          <t>Covered</t>
        </is>
      </c>
      <c r="E99" s="6" t="inlineStr">
        <is>
          <t>Yes</t>
        </is>
      </c>
      <c r="F99" s="6" t="inlineStr">
        <is>
          <t>M03-5 §3.5 profile_addresses.region_code</t>
        </is>
      </c>
      <c r="G99" s="6" t="inlineStr">
        <is>
          <t>Yes</t>
        </is>
      </c>
      <c r="H99" s="6" t="inlineStr">
        <is>
          <t>M03-6 §6</t>
        </is>
      </c>
      <c r="I99" s="6" t="inlineStr"/>
    </row>
    <row r="100">
      <c r="A100" s="6" t="inlineStr">
        <is>
          <t>Wizard 5 · Locations / sites (S05)</t>
        </is>
      </c>
      <c r="B100" s="6" t="inlineStr">
        <is>
          <t>City / District</t>
        </is>
      </c>
      <c r="C100" s="6" t="inlineStr">
        <is>
          <t>Keep</t>
        </is>
      </c>
      <c r="D100" s="13" t="inlineStr">
        <is>
          <t>Covered</t>
        </is>
      </c>
      <c r="E100" s="6" t="inlineStr">
        <is>
          <t>Yes</t>
        </is>
      </c>
      <c r="F100" s="6" t="inlineStr">
        <is>
          <t>M03-5 §3.5 profile_addresses.city,district_code</t>
        </is>
      </c>
      <c r="G100" s="6" t="inlineStr">
        <is>
          <t>Yes</t>
        </is>
      </c>
      <c r="H100" s="6" t="inlineStr">
        <is>
          <t>M03-6 §6</t>
        </is>
      </c>
      <c r="I100" s="6" t="inlineStr"/>
    </row>
    <row r="101">
      <c r="A101" s="6" t="inlineStr">
        <is>
          <t>Wizard 5 · Locations / sites (S05)</t>
        </is>
      </c>
      <c r="B101" s="6" t="inlineStr">
        <is>
          <t>Address line(s)</t>
        </is>
      </c>
      <c r="C101" s="6" t="inlineStr">
        <is>
          <t>Keep</t>
        </is>
      </c>
      <c r="D101" s="13" t="inlineStr">
        <is>
          <t>Covered</t>
        </is>
      </c>
      <c r="E101" s="6" t="inlineStr">
        <is>
          <t>Yes</t>
        </is>
      </c>
      <c r="F101" s="6" t="inlineStr">
        <is>
          <t>M03-5 §3.5 profile_addresses.address_lines</t>
        </is>
      </c>
      <c r="G101" s="6" t="inlineStr">
        <is>
          <t>Yes</t>
        </is>
      </c>
      <c r="H101" s="6" t="inlineStr">
        <is>
          <t>M03-6 §6</t>
        </is>
      </c>
      <c r="I101" s="6" t="inlineStr"/>
    </row>
    <row r="102">
      <c r="A102" s="6" t="inlineStr">
        <is>
          <t>Wizard 5 · Locations / sites (S05)</t>
        </is>
      </c>
      <c r="B102" s="6" t="inlineStr">
        <is>
          <t>Pincode</t>
        </is>
      </c>
      <c r="C102" s="6" t="inlineStr">
        <is>
          <t>Keep</t>
        </is>
      </c>
      <c r="D102" s="13" t="inlineStr">
        <is>
          <t>Covered</t>
        </is>
      </c>
      <c r="E102" s="6" t="inlineStr">
        <is>
          <t>Yes</t>
        </is>
      </c>
      <c r="F102" s="6" t="inlineStr">
        <is>
          <t>M03-5 §3.5 profile_addresses.postal_code</t>
        </is>
      </c>
      <c r="G102" s="6" t="inlineStr">
        <is>
          <t>Yes</t>
        </is>
      </c>
      <c r="H102" s="6" t="inlineStr">
        <is>
          <t>M03-6 §6</t>
        </is>
      </c>
      <c r="I102" s="6" t="inlineStr"/>
    </row>
    <row r="103">
      <c r="A103" s="6" t="inlineStr">
        <is>
          <t>Wizard 5 · Locations / sites (S05)</t>
        </is>
      </c>
      <c r="B103" s="6" t="inlineStr">
        <is>
          <t>Landmark (if there is no street or PIN)</t>
        </is>
      </c>
      <c r="C103" s="6" t="inlineStr">
        <is>
          <t>Add</t>
        </is>
      </c>
      <c r="D103" s="13" t="inlineStr">
        <is>
          <t>Covered</t>
        </is>
      </c>
      <c r="E103" s="6" t="inlineStr">
        <is>
          <t>Yes</t>
        </is>
      </c>
      <c r="F103" s="6" t="inlineStr">
        <is>
          <t>M03-5 §3.5 profile_addresses.landmark</t>
        </is>
      </c>
      <c r="G103" s="6" t="inlineStr">
        <is>
          <t>Yes</t>
        </is>
      </c>
      <c r="H103" s="6" t="inlineStr">
        <is>
          <t>M03-6 §6</t>
        </is>
      </c>
      <c r="I103" s="6" t="inlineStr"/>
    </row>
    <row r="104">
      <c r="A104" s="6" t="inlineStr">
        <is>
          <t>Wizard 5 · Locations / sites (S05)</t>
        </is>
      </c>
      <c r="B104" s="6" t="inlineStr">
        <is>
          <t>Pin on the map (Figma 'Location Access')</t>
        </is>
      </c>
      <c r="C104" s="6" t="inlineStr">
        <is>
          <t>Keep (optional)</t>
        </is>
      </c>
      <c r="D104" s="13" t="inlineStr">
        <is>
          <t>Covered</t>
        </is>
      </c>
      <c r="E104" s="6" t="inlineStr">
        <is>
          <t>Yes</t>
        </is>
      </c>
      <c r="F104" s="6" t="inlineStr">
        <is>
          <t>M03-5 §3.5 profile_addresses.geo_point_encrypted</t>
        </is>
      </c>
      <c r="G104" s="6" t="inlineStr">
        <is>
          <t>Yes</t>
        </is>
      </c>
      <c r="H104" s="6" t="inlineStr">
        <is>
          <t>M03-6 §6</t>
        </is>
      </c>
      <c r="I104" s="6" t="inlineStr"/>
    </row>
    <row r="105">
      <c r="A105" s="6" t="inlineStr">
        <is>
          <t>Wizard 5 · Locations / sites (S05)</t>
        </is>
      </c>
      <c r="B105" s="6" t="inlineStr">
        <is>
          <t>Main location</t>
        </is>
      </c>
      <c r="C105" s="6" t="inlineStr">
        <is>
          <t>Add</t>
        </is>
      </c>
      <c r="D105" s="13" t="inlineStr">
        <is>
          <t>Covered</t>
        </is>
      </c>
      <c r="E105" s="6" t="inlineStr">
        <is>
          <t>Yes</t>
        </is>
      </c>
      <c r="F105" s="6" t="inlineStr">
        <is>
          <t>M03-5 §3.5 profile_addresses.is_primary</t>
        </is>
      </c>
      <c r="G105" s="6" t="inlineStr">
        <is>
          <t>Yes</t>
        </is>
      </c>
      <c r="H105" s="6" t="inlineStr">
        <is>
          <t>M03-6 §6</t>
        </is>
      </c>
      <c r="I105" s="6" t="inlineStr"/>
    </row>
    <row r="106">
      <c r="A106" s="6" t="inlineStr">
        <is>
          <t>Wizard 5 · Locations / sites (S05)</t>
        </is>
      </c>
      <c r="B106" s="6" t="inlineStr">
        <is>
          <t>Contact hours</t>
        </is>
      </c>
      <c r="C106" s="6" t="inlineStr">
        <is>
          <t>Keep (decide)</t>
        </is>
      </c>
      <c r="D106" s="13" t="inlineStr">
        <is>
          <t>Covered</t>
        </is>
      </c>
      <c r="E106" s="6" t="inlineStr">
        <is>
          <t>Yes</t>
        </is>
      </c>
      <c r="F106" s="6" t="inlineStr">
        <is>
          <t>M03-5 §3.5 profile_addresses.contact_hours</t>
        </is>
      </c>
      <c r="G106" s="6" t="inlineStr">
        <is>
          <t>Yes</t>
        </is>
      </c>
      <c r="H106" s="6" t="inlineStr">
        <is>
          <t>M03-6 §6; §15</t>
        </is>
      </c>
      <c r="I106" s="6" t="inlineStr">
        <is>
          <t>M03-2 LOC-008</t>
        </is>
      </c>
    </row>
    <row r="107">
      <c r="A107" s="6" t="inlineStr">
        <is>
          <t>Wizard 5 · Locations / sites (S05)</t>
        </is>
      </c>
      <c r="B107" s="6" t="inlineStr">
        <is>
          <t>Site photos (2)</t>
        </is>
      </c>
      <c r="C107" s="6" t="inlineStr">
        <is>
          <t>Keep</t>
        </is>
      </c>
      <c r="D107" s="13" t="inlineStr">
        <is>
          <t>Covered</t>
        </is>
      </c>
      <c r="E107" s="6" t="inlineStr">
        <is>
          <t>Yes</t>
        </is>
      </c>
      <c r="F107" s="6" t="inlineStr">
        <is>
          <t>M03-5 §3.5 profile_addresses.photo_file_ids; M01-5 §2.1 files.purpose = location_photo</t>
        </is>
      </c>
      <c r="G107" s="6" t="inlineStr">
        <is>
          <t>Yes</t>
        </is>
      </c>
      <c r="H107" s="6" t="inlineStr">
        <is>
          <t>M03-6 §6; §15</t>
        </is>
      </c>
      <c r="I107" s="6" t="inlineStr">
        <is>
          <t>M03-2 LOC-009; public after safety review</t>
        </is>
      </c>
    </row>
    <row r="108">
      <c r="A108" s="6" t="inlineStr">
        <is>
          <t>Wizard 5 · Locations / sites (S05)</t>
        </is>
      </c>
      <c r="B108" s="6" t="inlineStr">
        <is>
          <t>Site video (3 MB)</t>
        </is>
      </c>
      <c r="C108" s="6" t="inlineStr">
        <is>
          <t>Keep</t>
        </is>
      </c>
      <c r="D108" s="13" t="inlineStr">
        <is>
          <t>Covered</t>
        </is>
      </c>
      <c r="E108" s="6" t="inlineStr">
        <is>
          <t>Yes</t>
        </is>
      </c>
      <c r="F108" s="6" t="inlineStr">
        <is>
          <t>M03-5 §3.5 profile_addresses.video_file_id; M01-5 §2.1 files.purpose = location_video; §2.3 video_assets</t>
        </is>
      </c>
      <c r="G108" s="6" t="inlineStr">
        <is>
          <t>Yes</t>
        </is>
      </c>
      <c r="H108" s="6" t="inlineStr">
        <is>
          <t>M03-6 §6; §15</t>
        </is>
      </c>
      <c r="I108" s="6" t="inlineStr">
        <is>
          <t>M03-2 LOC-009; ≤3 MB</t>
        </is>
      </c>
    </row>
    <row r="109">
      <c r="A109" s="6" t="inlineStr">
        <is>
          <t>Wizard 6 · Links &amp; bio</t>
        </is>
      </c>
      <c r="B109" s="6" t="inlineStr">
        <is>
          <t>Short bio (300 chars) — marked PRIVATE in Figma</t>
        </is>
      </c>
      <c r="C109" s="6" t="inlineStr">
        <is>
          <t>Keep (separate, public — G11)</t>
        </is>
      </c>
      <c r="D109" s="13" t="inlineStr">
        <is>
          <t>Covered</t>
        </is>
      </c>
      <c r="E109" s="6" t="inlineStr">
        <is>
          <t>Yes</t>
        </is>
      </c>
      <c r="F109" s="6" t="inlineStr">
        <is>
          <t>M03-5 §2.1 profiles.short_bio</t>
        </is>
      </c>
      <c r="G109" s="6" t="inlineStr">
        <is>
          <t>Yes</t>
        </is>
      </c>
      <c r="H109" s="6" t="inlineStr">
        <is>
          <t>M03-6 §12; §15; §3.5</t>
        </is>
      </c>
      <c r="I109" s="6" t="inlineStr">
        <is>
          <t>M03-2 PRF-014; kept with the description</t>
        </is>
      </c>
    </row>
    <row r="110">
      <c r="A110" s="6" t="inlineStr">
        <is>
          <t>Wizard 6 · Links &amp; bio</t>
        </is>
      </c>
      <c r="B110" s="6" t="inlineStr">
        <is>
          <t>Website</t>
        </is>
      </c>
      <c r="C110" s="6" t="inlineStr">
        <is>
          <t>Keep</t>
        </is>
      </c>
      <c r="D110" s="13" t="inlineStr">
        <is>
          <t>Covered</t>
        </is>
      </c>
      <c r="E110" s="6" t="inlineStr">
        <is>
          <t>Yes</t>
        </is>
      </c>
      <c r="F110" s="6" t="inlineStr">
        <is>
          <t>M03-5 §8.2 profile_links.link_type,url,handle_input,scan_status,is_public,display_order</t>
        </is>
      </c>
      <c r="G110" s="6" t="inlineStr">
        <is>
          <t>Yes</t>
        </is>
      </c>
      <c r="H110" s="6" t="inlineStr">
        <is>
          <t>M03-6 §12</t>
        </is>
      </c>
      <c r="I110" s="6" t="inlineStr">
        <is>
          <t>link_type = website</t>
        </is>
      </c>
    </row>
    <row r="111">
      <c r="A111" s="6" t="inlineStr">
        <is>
          <t>Wizard 6 · Links &amp; bio</t>
        </is>
      </c>
      <c r="B111" s="6" t="inlineStr">
        <is>
          <t>Instagram</t>
        </is>
      </c>
      <c r="C111" s="6" t="inlineStr">
        <is>
          <t>Keep</t>
        </is>
      </c>
      <c r="D111" s="13" t="inlineStr">
        <is>
          <t>Covered</t>
        </is>
      </c>
      <c r="E111" s="6" t="inlineStr">
        <is>
          <t>Yes</t>
        </is>
      </c>
      <c r="F111" s="6" t="inlineStr">
        <is>
          <t>M03-5 §8.2 profile_links.link_type,url,handle_input,scan_status,is_public,display_order</t>
        </is>
      </c>
      <c r="G111" s="6" t="inlineStr">
        <is>
          <t>Yes</t>
        </is>
      </c>
      <c r="H111" s="6" t="inlineStr">
        <is>
          <t>M03-6 §12</t>
        </is>
      </c>
      <c r="I111" s="6" t="inlineStr">
        <is>
          <t>link_type = instagram</t>
        </is>
      </c>
    </row>
    <row r="112">
      <c r="A112" s="6" t="inlineStr">
        <is>
          <t>Wizard 6 · Links &amp; bio</t>
        </is>
      </c>
      <c r="B112" s="6" t="inlineStr">
        <is>
          <t>Facebook</t>
        </is>
      </c>
      <c r="C112" s="6" t="inlineStr">
        <is>
          <t>Keep</t>
        </is>
      </c>
      <c r="D112" s="13" t="inlineStr">
        <is>
          <t>Covered</t>
        </is>
      </c>
      <c r="E112" s="6" t="inlineStr">
        <is>
          <t>Yes</t>
        </is>
      </c>
      <c r="F112" s="6" t="inlineStr">
        <is>
          <t>M03-5 §8.2 profile_links.link_type,url,handle_input,scan_status,is_public,display_order</t>
        </is>
      </c>
      <c r="G112" s="6" t="inlineStr">
        <is>
          <t>Yes</t>
        </is>
      </c>
      <c r="H112" s="6" t="inlineStr">
        <is>
          <t>M03-6 §12</t>
        </is>
      </c>
      <c r="I112" s="6" t="inlineStr">
        <is>
          <t>link_type = facebook</t>
        </is>
      </c>
    </row>
    <row r="113">
      <c r="A113" s="6" t="inlineStr">
        <is>
          <t>Wizard 6 · Links &amp; bio</t>
        </is>
      </c>
      <c r="B113" s="6" t="inlineStr">
        <is>
          <t>YouTube</t>
        </is>
      </c>
      <c r="C113" s="6" t="inlineStr">
        <is>
          <t>Add</t>
        </is>
      </c>
      <c r="D113" s="13" t="inlineStr">
        <is>
          <t>Covered</t>
        </is>
      </c>
      <c r="E113" s="6" t="inlineStr">
        <is>
          <t>Yes</t>
        </is>
      </c>
      <c r="F113" s="6" t="inlineStr">
        <is>
          <t>M03-5 §8.2 profile_links.link_type,url,handle_input,scan_status,is_public,display_order</t>
        </is>
      </c>
      <c r="G113" s="6" t="inlineStr">
        <is>
          <t>Yes</t>
        </is>
      </c>
      <c r="H113" s="6" t="inlineStr">
        <is>
          <t>M03-6 §12</t>
        </is>
      </c>
      <c r="I113" s="6" t="inlineStr">
        <is>
          <t>link_type = youtube</t>
        </is>
      </c>
    </row>
    <row r="114">
      <c r="A114" s="6" t="inlineStr">
        <is>
          <t>Wizard 6 · Links &amp; bio</t>
        </is>
      </c>
      <c r="B114" s="6" t="inlineStr">
        <is>
          <t>LinkedIn</t>
        </is>
      </c>
      <c r="C114" s="6" t="inlineStr">
        <is>
          <t>Add</t>
        </is>
      </c>
      <c r="D114" s="13" t="inlineStr">
        <is>
          <t>Covered</t>
        </is>
      </c>
      <c r="E114" s="6" t="inlineStr">
        <is>
          <t>Yes</t>
        </is>
      </c>
      <c r="F114" s="6" t="inlineStr">
        <is>
          <t>M03-5 §8.2 profile_links.link_type,url,handle_input,scan_status,is_public,display_order</t>
        </is>
      </c>
      <c r="G114" s="6" t="inlineStr">
        <is>
          <t>Yes</t>
        </is>
      </c>
      <c r="H114" s="6" t="inlineStr">
        <is>
          <t>M03-6 §12</t>
        </is>
      </c>
      <c r="I114" s="6" t="inlineStr">
        <is>
          <t>link_type = linkedin</t>
        </is>
      </c>
    </row>
    <row r="115">
      <c r="A115" s="6" t="inlineStr">
        <is>
          <t>Wizard 6 · Links &amp; bio</t>
        </is>
      </c>
      <c r="B115" s="6" t="inlineStr">
        <is>
          <t>Link status (Figma 'Verified by meta tag' / 'code in bio')</t>
        </is>
      </c>
      <c r="C115" s="6" t="inlineStr">
        <is>
          <t>Change (words 'Checking' / 'Link confirmed')</t>
        </is>
      </c>
      <c r="D115" s="13" t="inlineStr">
        <is>
          <t>Covered</t>
        </is>
      </c>
      <c r="E115" s="6" t="inlineStr">
        <is>
          <t>Yes</t>
        </is>
      </c>
      <c r="F115" s="6" t="inlineStr">
        <is>
          <t>M03-5 §8.2 profile_links.scan_status,scanned_at,next_scan_at,ownership_method,ownership_token_hash,ownership_code_expires_at,ownership_confirmed_at</t>
        </is>
      </c>
      <c r="G115" s="6" t="inlineStr">
        <is>
          <t>Yes</t>
        </is>
      </c>
      <c r="H115" s="6" t="inlineStr">
        <is>
          <t>M03-6 §2; §12; §15</t>
        </is>
      </c>
      <c r="I115" s="6" t="inlineStr">
        <is>
          <t>“Checking” / “Link confirmed” (M03-2 PRF-016)</t>
        </is>
      </c>
    </row>
    <row r="116">
      <c r="A116" s="6" t="inlineStr">
        <is>
          <t>Wizard 6 · Links &amp; bio</t>
        </is>
      </c>
      <c r="B116" s="6" t="inlineStr">
        <is>
          <t>Show on public profile (switch)</t>
        </is>
      </c>
      <c r="C116" s="6" t="inlineStr">
        <is>
          <t>Add</t>
        </is>
      </c>
      <c r="D116" s="13" t="inlineStr">
        <is>
          <t>Covered</t>
        </is>
      </c>
      <c r="E116" s="6" t="inlineStr">
        <is>
          <t>Yes</t>
        </is>
      </c>
      <c r="F116" s="6" t="inlineStr">
        <is>
          <t>M03-5 §8.2 profile_links.is_public</t>
        </is>
      </c>
      <c r="G116" s="6" t="inlineStr">
        <is>
          <t>Yes</t>
        </is>
      </c>
      <c r="H116" s="6" t="inlineStr">
        <is>
          <t>M03-6 §12</t>
        </is>
      </c>
      <c r="I116" s="6" t="inlineStr"/>
    </row>
    <row r="117">
      <c r="A117" s="6" t="inlineStr">
        <is>
          <t>Wizard 7 · Preview</t>
        </is>
      </c>
      <c r="B117" s="6" t="inlineStr">
        <is>
          <t>Headline = store name (not person name)</t>
        </is>
      </c>
      <c r="C117" s="6" t="inlineStr">
        <is>
          <t>Change</t>
        </is>
      </c>
      <c r="D117" s="13" t="inlineStr">
        <is>
          <t>Covered</t>
        </is>
      </c>
      <c r="E117" s="6" t="inlineStr">
        <is>
          <t>Yes</t>
        </is>
      </c>
      <c r="F117" s="6" t="inlineStr">
        <is>
          <t>M03-5 §2.1 profiles.trading_name</t>
        </is>
      </c>
      <c r="G117" s="6" t="inlineStr">
        <is>
          <t>Yes</t>
        </is>
      </c>
      <c r="H117" s="6" t="inlineStr">
        <is>
          <t>M03-6 §15</t>
        </is>
      </c>
      <c r="I117" s="6" t="inlineStr">
        <is>
          <t>No separate Preview step in M03-6; §12 links to S02</t>
        </is>
      </c>
    </row>
    <row r="118">
      <c r="A118" s="6" t="inlineStr">
        <is>
          <t>Wizard 7 · Preview</t>
        </is>
      </c>
      <c r="B118" s="6" t="inlineStr">
        <is>
          <t>Legal name next to store name</t>
        </is>
      </c>
      <c r="C118" s="6" t="inlineStr">
        <is>
          <t>Keep</t>
        </is>
      </c>
      <c r="D118" s="13" t="inlineStr">
        <is>
          <t>Covered</t>
        </is>
      </c>
      <c r="E118" s="6" t="inlineStr">
        <is>
          <t>Yes</t>
        </is>
      </c>
      <c r="F118" s="6" t="inlineStr">
        <is>
          <t>M03-5 §2.1 profiles.legal_name</t>
        </is>
      </c>
      <c r="G118" s="6" t="inlineStr">
        <is>
          <t>Yes</t>
        </is>
      </c>
      <c r="H118" s="6" t="inlineStr">
        <is>
          <t>M03-6 §15</t>
        </is>
      </c>
      <c r="I118" s="6" t="inlineStr"/>
    </row>
    <row r="119">
      <c r="A119" s="6" t="inlineStr">
        <is>
          <t>Wizard 7 · Preview</t>
        </is>
      </c>
      <c r="B119" s="6" t="inlineStr">
        <is>
          <t>Role · badges ('Business verified · as of {date}')</t>
        </is>
      </c>
      <c r="C119" s="6" t="inlineStr">
        <is>
          <t>Change (no 'Identity Verified' wording)</t>
        </is>
      </c>
      <c r="D119" s="13" t="inlineStr">
        <is>
          <t>Covered</t>
        </is>
      </c>
      <c r="E119" s="6" t="inlineStr">
        <is>
          <t>Yes</t>
        </is>
      </c>
      <c r="F119" s="6" t="inlineStr">
        <is>
          <t>M03-5 §2.3 role_assignments.role; M03-5 §4.6 badges.badge_type,status,as_of_at</t>
        </is>
      </c>
      <c r="G119" s="6" t="inlineStr">
        <is>
          <t>Yes</t>
        </is>
      </c>
      <c r="H119" s="6" t="inlineStr">
        <is>
          <t>M03-6 §15</t>
        </is>
      </c>
      <c r="I119" s="6" t="inlineStr"/>
    </row>
    <row r="120">
      <c r="A120" s="6" t="inlineStr">
        <is>
          <t>Wizard 7 · Preview</t>
        </is>
      </c>
      <c r="B120" s="6" t="inlineStr">
        <is>
          <t>Place (City, State, Country)</t>
        </is>
      </c>
      <c r="C120" s="6" t="inlineStr">
        <is>
          <t>Keep</t>
        </is>
      </c>
      <c r="D120" s="13" t="inlineStr">
        <is>
          <t>Covered</t>
        </is>
      </c>
      <c r="E120" s="6" t="inlineStr">
        <is>
          <t>Yes</t>
        </is>
      </c>
      <c r="F120" s="6" t="inlineStr">
        <is>
          <t>M03-5 §3.5 profile_addresses.city,district_code,region_code,country</t>
        </is>
      </c>
      <c r="G120" s="6" t="inlineStr">
        <is>
          <t>Yes</t>
        </is>
      </c>
      <c r="H120" s="6" t="inlineStr">
        <is>
          <t>M03-6 §15</t>
        </is>
      </c>
      <c r="I120" s="6" t="inlineStr"/>
    </row>
    <row r="121">
      <c r="A121" s="6" t="inlineStr">
        <is>
          <t>Wizard 7 · Preview</t>
        </is>
      </c>
      <c r="B121" s="6" t="inlineStr">
        <is>
          <t>Primary products</t>
        </is>
      </c>
      <c r="C121" s="6" t="inlineStr">
        <is>
          <t>Keep</t>
        </is>
      </c>
      <c r="D121" s="13" t="inlineStr">
        <is>
          <t>Covered</t>
        </is>
      </c>
      <c r="E121" s="6" t="inlineStr">
        <is>
          <t>Yes</t>
        </is>
      </c>
      <c r="F121" s="6" t="inlineStr">
        <is>
          <t>M03-5 §8.1 profile_interests.direction</t>
        </is>
      </c>
      <c r="G121" s="6" t="inlineStr">
        <is>
          <t>Yes</t>
        </is>
      </c>
      <c r="H121" s="6" t="inlineStr">
        <is>
          <t>M03-6 §15</t>
        </is>
      </c>
      <c r="I121" s="6" t="inlineStr"/>
    </row>
    <row r="122">
      <c r="A122" s="6" t="inlineStr">
        <is>
          <t>Wizard 7 · Preview</t>
        </is>
      </c>
      <c r="B122" s="6" t="inlineStr">
        <is>
          <t>Registration number (masked + 'active')</t>
        </is>
      </c>
      <c r="C122" s="6" t="inlineStr">
        <is>
          <t>Keep</t>
        </is>
      </c>
      <c r="D122" s="13" t="inlineStr">
        <is>
          <t>Covered</t>
        </is>
      </c>
      <c r="E122" s="6" t="inlineStr">
        <is>
          <t>Yes</t>
        </is>
      </c>
      <c r="F122" s="6" t="inlineStr">
        <is>
          <t>M03-5 §3.2 business_registrations.number_masked,registry_status</t>
        </is>
      </c>
      <c r="G122" s="6" t="inlineStr">
        <is>
          <t>Yes</t>
        </is>
      </c>
      <c r="H122" s="6" t="inlineStr">
        <is>
          <t>M03-6 §15; §3.3</t>
        </is>
      </c>
      <c r="I122" s="6" t="inlineStr"/>
    </row>
    <row r="123">
      <c r="A123" s="6" t="inlineStr">
        <is>
          <t>Wizard 7 · Preview</t>
        </is>
      </c>
      <c r="B123" s="6" t="inlineStr">
        <is>
          <t>Contact person · Email · Mobile · WhatsApp (Figma: PUBLIC)</t>
        </is>
      </c>
      <c r="C123" s="6" t="inlineStr">
        <is>
          <t>Change (all private; 'Contact this seller through OudhTrade')</t>
        </is>
      </c>
      <c r="D123" s="13" t="inlineStr">
        <is>
          <t>Covered</t>
        </is>
      </c>
      <c r="E123" s="6" t="inlineStr">
        <is>
          <t>Yes</t>
        </is>
      </c>
      <c r="F123" s="6" t="inlineStr">
        <is>
          <t>M02-5 §2.1 accounts.display_name,email,phone; M03-5 §3.3 authorised_persons.full_name_as_on_id</t>
        </is>
      </c>
      <c r="G123" s="6" t="inlineStr">
        <is>
          <t>Yes</t>
        </is>
      </c>
      <c r="H123" s="6" t="inlineStr">
        <is>
          <t>M03-6 §15</t>
        </is>
      </c>
      <c r="I123" s="6" t="inlineStr">
        <is>
          <t>WhatsApp not stored</t>
        </is>
      </c>
    </row>
    <row r="124">
      <c r="A124" s="6" t="inlineStr">
        <is>
          <t>Wizard 7 · Preview</t>
        </is>
      </c>
      <c r="B124" s="6" t="inlineStr">
        <is>
          <t>Save and finish later</t>
        </is>
      </c>
      <c r="C124" s="6" t="inlineStr">
        <is>
          <t>Keep</t>
        </is>
      </c>
      <c r="D124" s="13" t="inlineStr">
        <is>
          <t>Covered</t>
        </is>
      </c>
      <c r="E124" s="6" t="inlineStr">
        <is>
          <t>Yes</t>
        </is>
      </c>
      <c r="F124" s="6" t="inlineStr">
        <is>
          <t>M03-5 §8.3 profile_drafts.form_key,field_key,value_text,value_encrypted,expires_at</t>
        </is>
      </c>
      <c r="G124" s="6" t="inlineStr">
        <is>
          <t>Yes</t>
        </is>
      </c>
      <c r="H124" s="6" t="inlineStr">
        <is>
          <t>M03-6 §2; §6; §8.1; §10; §12; §12.1</t>
        </is>
      </c>
      <c r="I124" s="6" t="inlineStr">
        <is>
          <t>Every setup screen (M03-2 DAT-001)</t>
        </is>
      </c>
    </row>
    <row r="125">
      <c r="A125" s="6" t="inlineStr">
        <is>
          <t>Wizard 7 · Preview</t>
        </is>
      </c>
      <c r="B125" s="6" t="inlineStr">
        <is>
          <t>Submit for verification (+ consents for third-party checks)</t>
        </is>
      </c>
      <c r="C125" s="6" t="inlineStr">
        <is>
          <t>Change</t>
        </is>
      </c>
      <c r="D125" s="13" t="inlineStr">
        <is>
          <t>Covered</t>
        </is>
      </c>
      <c r="E125" s="6" t="inlineStr">
        <is>
          <t>Yes</t>
        </is>
      </c>
      <c r="F125" s="6" t="inlineStr">
        <is>
          <t>M03-5 §4.2 verification_cases.state; M03-5 §4.5 verification_consents.check_type,choice</t>
        </is>
      </c>
      <c r="G125" s="6" t="inlineStr">
        <is>
          <t>Yes</t>
        </is>
      </c>
      <c r="H125" s="6" t="inlineStr">
        <is>
          <t>M03-6 §5.1; §7; §8.1</t>
        </is>
      </c>
      <c r="I125" s="6" t="inlineStr">
        <is>
          <t>Supplier document-share consent dialog not worded (registry and selfie consents are) Wording added 24 Sep 2026.</t>
        </is>
      </c>
    </row>
    <row r="126">
      <c r="A126" s="6" t="inlineStr">
        <is>
          <t>Identity check (S06)</t>
        </is>
      </c>
      <c r="B126" s="6" t="inlineStr">
        <is>
          <t>Is the authorised person here? (Yes / send them a link)</t>
        </is>
      </c>
      <c r="C126" s="6" t="inlineStr">
        <is>
          <t>Add</t>
        </is>
      </c>
      <c r="D126" s="13" t="inlineStr">
        <is>
          <t>Covered</t>
        </is>
      </c>
      <c r="E126" s="6" t="inlineStr">
        <is>
          <t>Yes</t>
        </is>
      </c>
      <c r="F126" s="6" t="inlineStr">
        <is>
          <t>M03-5 §4.4 identity_checks.alternative_route,remote_link_token_hash,remote_link_expires_at,remote_link_status</t>
        </is>
      </c>
      <c r="G126" s="6" t="inlineStr">
        <is>
          <t>Yes</t>
        </is>
      </c>
      <c r="H126" s="6" t="inlineStr">
        <is>
          <t>M03-6 §7</t>
        </is>
      </c>
      <c r="I126" s="6" t="inlineStr"/>
    </row>
    <row r="127">
      <c r="A127" s="6" t="inlineStr">
        <is>
          <t>Identity check (S06)</t>
        </is>
      </c>
      <c r="B127" s="6" t="inlineStr">
        <is>
          <t>Route: DigiLocker · Upload ID photo · Aadhaar OTP (after approval)</t>
        </is>
      </c>
      <c r="C127" s="6" t="inlineStr">
        <is>
          <t>Add</t>
        </is>
      </c>
      <c r="D127" s="13" t="inlineStr">
        <is>
          <t>Covered</t>
        </is>
      </c>
      <c r="E127" s="6" t="inlineStr">
        <is>
          <t>Yes</t>
        </is>
      </c>
      <c r="F127" s="6" t="inlineStr">
        <is>
          <t>M03-5 §4.4 identity_checks.method</t>
        </is>
      </c>
      <c r="G127" s="6" t="inlineStr">
        <is>
          <t>Yes</t>
        </is>
      </c>
      <c r="H127" s="6" t="inlineStr">
        <is>
          <t>M03-6 §7</t>
        </is>
      </c>
      <c r="I127" s="6" t="inlineStr"/>
    </row>
    <row r="128">
      <c r="A128" s="6" t="inlineStr">
        <is>
          <t>Identity check (S06)</t>
        </is>
      </c>
      <c r="B128" s="6" t="inlineStr">
        <is>
          <t>Consent per check (DigiLocker, Aadhaar e-KYC, selfie)</t>
        </is>
      </c>
      <c r="C128" s="6" t="inlineStr">
        <is>
          <t>Add</t>
        </is>
      </c>
      <c r="D128" s="13" t="inlineStr">
        <is>
          <t>Covered</t>
        </is>
      </c>
      <c r="E128" s="6" t="inlineStr">
        <is>
          <t>Yes</t>
        </is>
      </c>
      <c r="F128" s="6" t="inlineStr">
        <is>
          <t>M03-5 §4.5 verification_consents.check_type,text_version,choice; M03-5 §4.4 identity_checks.consent_id</t>
        </is>
      </c>
      <c r="G128" s="6" t="inlineStr">
        <is>
          <t>Yes</t>
        </is>
      </c>
      <c r="H128" s="6" t="inlineStr">
        <is>
          <t>M03-6 §7</t>
        </is>
      </c>
      <c r="I128" s="6" t="inlineStr">
        <is>
          <t>DigiLocker and Aadhaar e-KYC consent dialogs not worded; only the selfie consent Wording added 24 Sep 2026.</t>
        </is>
      </c>
    </row>
    <row r="129">
      <c r="A129" s="6" t="inlineStr">
        <is>
          <t>Identity check (S06)</t>
        </is>
      </c>
      <c r="B129" s="6" t="inlineStr">
        <is>
          <t>Choose your ID (type, issuing country)</t>
        </is>
      </c>
      <c r="C129" s="6" t="inlineStr">
        <is>
          <t>Add</t>
        </is>
      </c>
      <c r="D129" s="13" t="inlineStr">
        <is>
          <t>Covered</t>
        </is>
      </c>
      <c r="E129" s="6" t="inlineStr">
        <is>
          <t>Yes</t>
        </is>
      </c>
      <c r="F129" s="6" t="inlineStr">
        <is>
          <t>M03-5 §4.4 identity_checks.id_type,id_issuing_country</t>
        </is>
      </c>
      <c r="G129" s="6" t="inlineStr">
        <is>
          <t>Yes</t>
        </is>
      </c>
      <c r="H129" s="6" t="inlineStr">
        <is>
          <t>M03-6 §7</t>
        </is>
      </c>
      <c r="I129" s="6" t="inlineStr"/>
    </row>
    <row r="130">
      <c r="A130" s="6" t="inlineStr">
        <is>
          <t>Identity check (S06)</t>
        </is>
      </c>
      <c r="B130" s="6" t="inlineStr">
        <is>
          <t>ID photo (all four corners)</t>
        </is>
      </c>
      <c r="C130" s="6" t="inlineStr">
        <is>
          <t>Add</t>
        </is>
      </c>
      <c r="D130" s="13" t="inlineStr">
        <is>
          <t>Covered</t>
        </is>
      </c>
      <c r="E130" s="6" t="inlineStr">
        <is>
          <t>Yes</t>
        </is>
      </c>
      <c r="F130" s="6" t="inlineStr">
        <is>
          <t>M03-5 §4.4 identity_checks.id_file_ids</t>
        </is>
      </c>
      <c r="G130" s="6" t="inlineStr">
        <is>
          <t>Yes</t>
        </is>
      </c>
      <c r="H130" s="6" t="inlineStr">
        <is>
          <t>M03-6 §7</t>
        </is>
      </c>
      <c r="I130" s="6" t="inlineStr"/>
    </row>
    <row r="131">
      <c r="A131" s="6" t="inlineStr">
        <is>
          <t>Identity check (S06)</t>
        </is>
      </c>
      <c r="B131" s="6" t="inlineStr">
        <is>
          <t>Name on ID (read, not typed)</t>
        </is>
      </c>
      <c r="C131" s="6" t="inlineStr">
        <is>
          <t>Add</t>
        </is>
      </c>
      <c r="D131" s="13" t="inlineStr">
        <is>
          <t>Covered</t>
        </is>
      </c>
      <c r="E131" s="6" t="inlineStr">
        <is>
          <t>Yes</t>
        </is>
      </c>
      <c r="F131" s="6" t="inlineStr">
        <is>
          <t>M03-5 §4.4 identity_checks.name_on_id</t>
        </is>
      </c>
      <c r="G131" s="6" t="inlineStr">
        <is>
          <t>Yes</t>
        </is>
      </c>
      <c r="H131" s="6" t="inlineStr">
        <is>
          <t>M03-6 §7</t>
        </is>
      </c>
      <c r="I131" s="6" t="inlineStr">
        <is>
          <t>“Read from your ID” (M03-2 IDV-004)</t>
        </is>
      </c>
    </row>
    <row r="132">
      <c r="A132" s="6" t="inlineStr">
        <is>
          <t>Identity check (S06)</t>
        </is>
      </c>
      <c r="B132" s="6" t="inlineStr">
        <is>
          <t>ID expiry</t>
        </is>
      </c>
      <c r="C132" s="6" t="inlineStr">
        <is>
          <t>Add</t>
        </is>
      </c>
      <c r="D132" s="13" t="inlineStr">
        <is>
          <t>Covered</t>
        </is>
      </c>
      <c r="E132" s="6" t="inlineStr">
        <is>
          <t>Yes</t>
        </is>
      </c>
      <c r="F132" s="6" t="inlineStr">
        <is>
          <t>M03-5 §4.4 identity_checks.id_expiry_date</t>
        </is>
      </c>
      <c r="G132" s="6" t="inlineStr">
        <is>
          <t>Yes</t>
        </is>
      </c>
      <c r="H132" s="6" t="inlineStr">
        <is>
          <t>M03-6 §7</t>
        </is>
      </c>
      <c r="I132" s="6" t="inlineStr">
        <is>
          <t>“ID valid until” (M03-2 IDV-005)</t>
        </is>
      </c>
    </row>
    <row r="133">
      <c r="A133" s="6" t="inlineStr">
        <is>
          <t>Identity check (S06)</t>
        </is>
      </c>
      <c r="B133" s="6" t="inlineStr">
        <is>
          <t>Live selfie (skip when DigiLocker mobile or Aadhaar already confirms)</t>
        </is>
      </c>
      <c r="C133" s="6" t="inlineStr">
        <is>
          <t>Add</t>
        </is>
      </c>
      <c r="D133" s="22" t="inlineStr">
        <is>
          <t>Not stored (by design)</t>
        </is>
      </c>
      <c r="E133" s="6" t="inlineStr">
        <is>
          <t>Not stored by design</t>
        </is>
      </c>
      <c r="F133" s="6" t="inlineStr">
        <is>
          <t>Selfie deleted; results in M03-5 §4.4 identity_checks.liveness_result,face_match_result,face_match_score,selfie_attempts,selfie_skip_reason,selfie_deleted_at</t>
        </is>
      </c>
      <c r="G133" s="6" t="inlineStr">
        <is>
          <t>Yes</t>
        </is>
      </c>
      <c r="H133" s="6" t="inlineStr">
        <is>
          <t>M03-6 §7</t>
        </is>
      </c>
      <c r="I133" s="6" t="inlineStr"/>
    </row>
    <row r="134">
      <c r="A134" s="6" t="inlineStr">
        <is>
          <t>Identity check (S06)</t>
        </is>
      </c>
      <c r="B134" s="6" t="inlineStr">
        <is>
          <t>Fallbacks: video call · field agent in person</t>
        </is>
      </c>
      <c r="C134" s="6" t="inlineStr">
        <is>
          <t>Add</t>
        </is>
      </c>
      <c r="D134" s="13" t="inlineStr">
        <is>
          <t>Covered</t>
        </is>
      </c>
      <c r="E134" s="6" t="inlineStr">
        <is>
          <t>Yes</t>
        </is>
      </c>
      <c r="F134" s="6" t="inlineStr">
        <is>
          <t>M03-5 §4.4 identity_checks.alternative_route,video_call_staff_id,agent_staff_id</t>
        </is>
      </c>
      <c r="G134" s="6" t="inlineStr">
        <is>
          <t>Yes</t>
        </is>
      </c>
      <c r="H134" s="6" t="inlineStr">
        <is>
          <t>M03-6 §7</t>
        </is>
      </c>
      <c r="I134" s="6" t="inlineStr"/>
    </row>
    <row r="135">
      <c r="A135" s="6" t="inlineStr">
        <is>
          <t>Individual buyer profile (S10)</t>
        </is>
      </c>
      <c r="B135" s="6" t="inlineStr">
        <is>
          <t>Your name (as on your ID) — Figma 'Full Legal Name*'</t>
        </is>
      </c>
      <c r="C135" s="6" t="inlineStr">
        <is>
          <t>Change (pre-filled from sign-up)</t>
        </is>
      </c>
      <c r="D135" s="13" t="inlineStr">
        <is>
          <t>Covered</t>
        </is>
      </c>
      <c r="E135" s="6" t="inlineStr">
        <is>
          <t>Yes</t>
        </is>
      </c>
      <c r="F135" s="6" t="inlineStr">
        <is>
          <t>M03-5 §2.1 profiles.person_legal_name; M02-5 §2.1 accounts.display_name</t>
        </is>
      </c>
      <c r="G135" s="6" t="inlineStr">
        <is>
          <t>Yes</t>
        </is>
      </c>
      <c r="H135" s="6" t="inlineStr">
        <is>
          <t>M03-6 §11</t>
        </is>
      </c>
      <c r="I135" s="6" t="inlineStr"/>
    </row>
    <row r="136">
      <c r="A136" s="6" t="inlineStr">
        <is>
          <t>Individual buyer profile (S10)</t>
        </is>
      </c>
      <c r="B136" s="6" t="inlineStr">
        <is>
          <t>City</t>
        </is>
      </c>
      <c r="C136" s="6" t="inlineStr">
        <is>
          <t>Change (city only)</t>
        </is>
      </c>
      <c r="D136" s="13" t="inlineStr">
        <is>
          <t>Covered</t>
        </is>
      </c>
      <c r="E136" s="6" t="inlineStr">
        <is>
          <t>Yes</t>
        </is>
      </c>
      <c r="F136" s="6" t="inlineStr">
        <is>
          <t>M03-5 §3.5 profile_addresses.city (address_type = home)</t>
        </is>
      </c>
      <c r="G136" s="6" t="inlineStr">
        <is>
          <t>Yes</t>
        </is>
      </c>
      <c r="H136" s="6" t="inlineStr">
        <is>
          <t>M03-6 §11</t>
        </is>
      </c>
      <c r="I136" s="6" t="inlineStr">
        <is>
          <t>Private (M03-2 LOC-010)</t>
        </is>
      </c>
    </row>
    <row r="137">
      <c r="A137" s="6" t="inlineStr">
        <is>
          <t>Individual buyer profile (S10)</t>
        </is>
      </c>
      <c r="B137" s="6" t="inlineStr">
        <is>
          <t>Country</t>
        </is>
      </c>
      <c r="C137" s="6" t="inlineStr">
        <is>
          <t>Keep</t>
        </is>
      </c>
      <c r="D137" s="13" t="inlineStr">
        <is>
          <t>Covered</t>
        </is>
      </c>
      <c r="E137" s="6" t="inlineStr">
        <is>
          <t>Yes</t>
        </is>
      </c>
      <c r="F137" s="6" t="inlineStr">
        <is>
          <t>M02-5 §2.1 accounts.declared_country; M03-5 §2.1 profiles.billing_country</t>
        </is>
      </c>
      <c r="G137" s="6" t="inlineStr">
        <is>
          <t>Yes</t>
        </is>
      </c>
      <c r="H137" s="6" t="inlineStr">
        <is>
          <t>M03-6 §11</t>
        </is>
      </c>
      <c r="I137" s="6" t="inlineStr"/>
    </row>
    <row r="138">
      <c r="A138" s="6" t="inlineStr">
        <is>
          <t>Individual buyer profile (S10)</t>
        </is>
      </c>
      <c r="B138" s="6" t="inlineStr">
        <is>
          <t>Buying for (Myself · A business)</t>
        </is>
      </c>
      <c r="C138" s="6" t="inlineStr">
        <is>
          <t>Keep</t>
        </is>
      </c>
      <c r="D138" s="13" t="inlineStr">
        <is>
          <t>Covered</t>
        </is>
      </c>
      <c r="E138" s="6" t="inlineStr">
        <is>
          <t>Yes</t>
        </is>
      </c>
      <c r="F138" s="6" t="inlineStr">
        <is>
          <t>M02-5 §2.1 accounts.declared_buyer_kind; M03-5 §2.1 profiles.profile_kind</t>
        </is>
      </c>
      <c r="G138" s="6" t="inlineStr">
        <is>
          <t>Yes</t>
        </is>
      </c>
      <c r="H138" s="6" t="inlineStr">
        <is>
          <t>M03-6 §11</t>
        </is>
      </c>
      <c r="I138" s="6" t="inlineStr"/>
    </row>
    <row r="139">
      <c r="A139" s="6" t="inlineStr">
        <is>
          <t>Individual buyer profile (S10)</t>
        </is>
      </c>
      <c r="B139" s="6" t="inlineStr">
        <is>
          <t>What do you buy?</t>
        </is>
      </c>
      <c r="C139" s="6" t="inlineStr">
        <is>
          <t>Change (was 'Area of Interest')</t>
        </is>
      </c>
      <c r="D139" s="13" t="inlineStr">
        <is>
          <t>Covered</t>
        </is>
      </c>
      <c r="E139" s="6" t="inlineStr">
        <is>
          <t>Yes</t>
        </is>
      </c>
      <c r="F139" s="6" t="inlineStr">
        <is>
          <t>M03-5 §8.1 profile_interests.direction</t>
        </is>
      </c>
      <c r="G139" s="6" t="inlineStr">
        <is>
          <t>Yes</t>
        </is>
      </c>
      <c r="H139" s="6" t="inlineStr">
        <is>
          <t>M03-6 §11</t>
        </is>
      </c>
      <c r="I139" s="6" t="inlineStr"/>
    </row>
    <row r="140">
      <c r="A140" s="6" t="inlineStr">
        <is>
          <t>Individual buyer profile (S10)</t>
        </is>
      </c>
      <c r="B140" s="6" t="inlineStr">
        <is>
          <t>Preferred origins (optional)</t>
        </is>
      </c>
      <c r="C140" s="6" t="inlineStr">
        <is>
          <t>Add</t>
        </is>
      </c>
      <c r="D140" s="13" t="inlineStr">
        <is>
          <t>Covered</t>
        </is>
      </c>
      <c r="E140" s="6" t="inlineStr">
        <is>
          <t>Yes</t>
        </is>
      </c>
      <c r="F140" s="6" t="inlineStr">
        <is>
          <t>M03-5 §8.1 profile_interests.preferred_origins</t>
        </is>
      </c>
      <c r="G140" s="6" t="inlineStr">
        <is>
          <t>Yes</t>
        </is>
      </c>
      <c r="H140" s="6" t="inlineStr">
        <is>
          <t>M03-6 §11</t>
        </is>
      </c>
      <c r="I140" s="6" t="inlineStr"/>
    </row>
    <row r="141">
      <c r="A141" s="6" t="inlineStr">
        <is>
          <t>Individual buyer profile (S10)</t>
        </is>
      </c>
      <c r="B141" s="6" t="inlineStr">
        <is>
          <t>How often do you buy?</t>
        </is>
      </c>
      <c r="C141" s="6" t="inlineStr">
        <is>
          <t>Add</t>
        </is>
      </c>
      <c r="D141" s="13" t="inlineStr">
        <is>
          <t>Covered</t>
        </is>
      </c>
      <c r="E141" s="6" t="inlineStr">
        <is>
          <t>Yes</t>
        </is>
      </c>
      <c r="F141" s="6" t="inlineStr">
        <is>
          <t>M03-5 §8.1 profile_interests.frequency</t>
        </is>
      </c>
      <c r="G141" s="6" t="inlineStr">
        <is>
          <t>Yes</t>
        </is>
      </c>
      <c r="H141" s="6" t="inlineStr">
        <is>
          <t>M03-6 §11</t>
        </is>
      </c>
      <c r="I141" s="6" t="inlineStr"/>
    </row>
    <row r="142">
      <c r="A142" s="6" t="inlineStr">
        <is>
          <t>Individual buyer profile (S10)</t>
        </is>
      </c>
      <c r="B142" s="6" t="inlineStr">
        <is>
          <t>Get Verified buyer (optional)</t>
        </is>
      </c>
      <c r="C142" s="6" t="inlineStr">
        <is>
          <t>Add</t>
        </is>
      </c>
      <c r="D142" s="13" t="inlineStr">
        <is>
          <t>Covered</t>
        </is>
      </c>
      <c r="E142" s="6" t="inlineStr">
        <is>
          <t>Yes</t>
        </is>
      </c>
      <c r="F142" s="6" t="inlineStr">
        <is>
          <t>M03-5 §4.2 verification_cases.case_type; M03-5 §4.4 identity_checks.subject_type; M03-5 §4.6 badges.badge_type</t>
        </is>
      </c>
      <c r="G142" s="6" t="inlineStr">
        <is>
          <t>Yes</t>
        </is>
      </c>
      <c r="H142" s="6" t="inlineStr">
        <is>
          <t>M03-6 §11; §3.2</t>
        </is>
      </c>
      <c r="I142" s="6" t="inlineStr"/>
    </row>
    <row r="143">
      <c r="A143" s="6" t="inlineStr">
        <is>
          <t>Individual buyer profile (S10)</t>
        </is>
      </c>
      <c r="B143" s="6" t="inlineStr">
        <is>
          <t>Get Business verified (business buyer, optional)</t>
        </is>
      </c>
      <c r="C143" s="6" t="inlineStr">
        <is>
          <t>Add</t>
        </is>
      </c>
      <c r="D143" s="13" t="inlineStr">
        <is>
          <t>Covered</t>
        </is>
      </c>
      <c r="E143" s="6" t="inlineStr">
        <is>
          <t>Yes</t>
        </is>
      </c>
      <c r="F143" s="6" t="inlineStr">
        <is>
          <t>M03-5 §4.2 verification_cases.case_type</t>
        </is>
      </c>
      <c r="G143" s="6" t="inlineStr">
        <is>
          <t>Yes</t>
        </is>
      </c>
      <c r="H143" s="6" t="inlineStr">
        <is>
          <t>M03-6 §11; §3.2</t>
        </is>
      </c>
      <c r="I143" s="6" t="inlineStr"/>
    </row>
    <row r="144">
      <c r="A144" s="6" t="inlineStr">
        <is>
          <t>Farmer profile — simple mode (S09)</t>
        </is>
      </c>
      <c r="B144" s="6" t="inlineStr">
        <is>
          <t>Your name (as on your ID)</t>
        </is>
      </c>
      <c r="C144" s="6" t="inlineStr">
        <is>
          <t>Keep</t>
        </is>
      </c>
      <c r="D144" s="13" t="inlineStr">
        <is>
          <t>Covered</t>
        </is>
      </c>
      <c r="E144" s="6" t="inlineStr">
        <is>
          <t>Yes</t>
        </is>
      </c>
      <c r="F144" s="6" t="inlineStr">
        <is>
          <t>M03-5 §2.1 profiles.person_legal_name</t>
        </is>
      </c>
      <c r="G144" s="6" t="inlineStr">
        <is>
          <t>Yes</t>
        </is>
      </c>
      <c r="H144" s="6" t="inlineStr">
        <is>
          <t>M03-6 §10</t>
        </is>
      </c>
      <c r="I144" s="6" t="inlineStr"/>
    </row>
    <row r="145">
      <c r="A145" s="6" t="inlineStr">
        <is>
          <t>Farmer profile — simple mode (S09)</t>
        </is>
      </c>
      <c r="B145" s="6" t="inlineStr">
        <is>
          <t>Your name in Assamese / Bengali / Hindi (optional)</t>
        </is>
      </c>
      <c r="C145" s="6" t="inlineStr">
        <is>
          <t>Add</t>
        </is>
      </c>
      <c r="D145" s="13" t="inlineStr">
        <is>
          <t>Covered</t>
        </is>
      </c>
      <c r="E145" s="6" t="inlineStr">
        <is>
          <t>Yes</t>
        </is>
      </c>
      <c r="F145" s="6" t="inlineStr">
        <is>
          <t>M03-5 §2.1 profiles.person_name_local</t>
        </is>
      </c>
      <c r="G145" s="6" t="inlineStr">
        <is>
          <t>Yes</t>
        </is>
      </c>
      <c r="H145" s="6" t="inlineStr">
        <is>
          <t>M03-6 §10</t>
        </is>
      </c>
      <c r="I145" s="6" t="inlineStr"/>
    </row>
    <row r="146">
      <c r="A146" s="6" t="inlineStr">
        <is>
          <t>Farmer profile — simple mode (S09)</t>
        </is>
      </c>
      <c r="B146" s="6" t="inlineStr">
        <is>
          <t>Public display name</t>
        </is>
      </c>
      <c r="C146" s="6" t="inlineStr">
        <is>
          <t>Add</t>
        </is>
      </c>
      <c r="D146" s="13" t="inlineStr">
        <is>
          <t>Covered</t>
        </is>
      </c>
      <c r="E146" s="6" t="inlineStr">
        <is>
          <t>Yes</t>
        </is>
      </c>
      <c r="F146" s="6" t="inlineStr">
        <is>
          <t>M03-5 §2.1 profiles.display_name</t>
        </is>
      </c>
      <c r="G146" s="6" t="inlineStr">
        <is>
          <t>Yes</t>
        </is>
      </c>
      <c r="H146" s="6" t="inlineStr">
        <is>
          <t>M03-6 §10; §12; §15</t>
        </is>
      </c>
      <c r="I146" s="6" t="inlineStr">
        <is>
          <t>M03-2 PRF-015</t>
        </is>
      </c>
    </row>
    <row r="147">
      <c r="A147" s="6" t="inlineStr">
        <is>
          <t>Farmer profile — simple mode (S09)</t>
        </is>
      </c>
      <c r="B147" s="6" t="inlineStr">
        <is>
          <t>Your village</t>
        </is>
      </c>
      <c r="C147" s="6" t="inlineStr">
        <is>
          <t>Add</t>
        </is>
      </c>
      <c r="D147" s="13" t="inlineStr">
        <is>
          <t>Covered</t>
        </is>
      </c>
      <c r="E147" s="6" t="inlineStr">
        <is>
          <t>Yes</t>
        </is>
      </c>
      <c r="F147" s="6" t="inlineStr">
        <is>
          <t>M03-5 §3.5 profile_addresses.village (address_type = home)</t>
        </is>
      </c>
      <c r="G147" s="6" t="inlineStr">
        <is>
          <t>Yes</t>
        </is>
      </c>
      <c r="H147" s="6" t="inlineStr">
        <is>
          <t>M03-6 §10</t>
        </is>
      </c>
      <c r="I147" s="6" t="inlineStr">
        <is>
          <t>Private (M03-2 LOC-010)</t>
        </is>
      </c>
    </row>
    <row r="148">
      <c r="A148" s="6" t="inlineStr">
        <is>
          <t>Farmer profile — simple mode (S09)</t>
        </is>
      </c>
      <c r="B148" s="6" t="inlineStr">
        <is>
          <t>Your district</t>
        </is>
      </c>
      <c r="C148" s="6" t="inlineStr">
        <is>
          <t>Add</t>
        </is>
      </c>
      <c r="D148" s="13" t="inlineStr">
        <is>
          <t>Covered</t>
        </is>
      </c>
      <c r="E148" s="6" t="inlineStr">
        <is>
          <t>Yes</t>
        </is>
      </c>
      <c r="F148" s="6" t="inlineStr">
        <is>
          <t>M03-5 §3.5 profile_addresses.district_code,address_type</t>
        </is>
      </c>
      <c r="G148" s="6" t="inlineStr">
        <is>
          <t>Yes</t>
        </is>
      </c>
      <c r="H148" s="6" t="inlineStr">
        <is>
          <t>M03-6 §10</t>
        </is>
      </c>
      <c r="I148" s="6" t="inlineStr"/>
    </row>
    <row r="149">
      <c r="A149" s="6" t="inlineStr">
        <is>
          <t>Farmer profile — simple mode (S09)</t>
        </is>
      </c>
      <c r="B149" s="6" t="inlineStr">
        <is>
          <t>Where are your trees? (district, state; 'Same as my village')</t>
        </is>
      </c>
      <c r="C149" s="6" t="inlineStr">
        <is>
          <t>Add</t>
        </is>
      </c>
      <c r="D149" s="13" t="inlineStr">
        <is>
          <t>Covered</t>
        </is>
      </c>
      <c r="E149" s="6" t="inlineStr">
        <is>
          <t>Yes</t>
        </is>
      </c>
      <c r="F149" s="6" t="inlineStr">
        <is>
          <t>M03-5 §6.1 farm_profiles.district_code,region_code,country,village</t>
        </is>
      </c>
      <c r="G149" s="6" t="inlineStr">
        <is>
          <t>Yes</t>
        </is>
      </c>
      <c r="H149" s="6" t="inlineStr">
        <is>
          <t>M03-6 §10</t>
        </is>
      </c>
      <c r="I149" s="6" t="inlineStr"/>
    </row>
    <row r="150">
      <c r="A150" s="6" t="inlineStr">
        <is>
          <t>Farmer profile — simple mode (S09)</t>
        </is>
      </c>
      <c r="B150" s="6" t="inlineStr">
        <is>
          <t>How big is the land?</t>
        </is>
      </c>
      <c r="C150" s="6" t="inlineStr">
        <is>
          <t>Add</t>
        </is>
      </c>
      <c r="D150" s="13" t="inlineStr">
        <is>
          <t>Covered</t>
        </is>
      </c>
      <c r="E150" s="6" t="inlineStr">
        <is>
          <t>Yes</t>
        </is>
      </c>
      <c r="F150" s="6" t="inlineStr">
        <is>
          <t>M03-5 §6.1 farm_profiles.area_value,area_unit_code</t>
        </is>
      </c>
      <c r="G150" s="6" t="inlineStr">
        <is>
          <t>Yes</t>
        </is>
      </c>
      <c r="H150" s="6" t="inlineStr">
        <is>
          <t>M03-6 §10</t>
        </is>
      </c>
      <c r="I150" s="6" t="inlineStr"/>
    </row>
    <row r="151">
      <c r="A151" s="6" t="inlineStr">
        <is>
          <t>Farmer profile — simple mode (S09)</t>
        </is>
      </c>
      <c r="B151" s="6" t="inlineStr">
        <is>
          <t>Which trees?</t>
        </is>
      </c>
      <c r="C151" s="6" t="inlineStr">
        <is>
          <t>Add</t>
        </is>
      </c>
      <c r="D151" s="13" t="inlineStr">
        <is>
          <t>Covered</t>
        </is>
      </c>
      <c r="E151" s="6" t="inlineStr">
        <is>
          <t>Yes</t>
        </is>
      </c>
      <c r="F151" s="6" t="inlineStr">
        <is>
          <t>M03-5 §6.1 farm_profiles.species</t>
        </is>
      </c>
      <c r="G151" s="6" t="inlineStr">
        <is>
          <t>Yes</t>
        </is>
      </c>
      <c r="H151" s="6" t="inlineStr">
        <is>
          <t>M03-6 §10</t>
        </is>
      </c>
      <c r="I151" s="6" t="inlineStr"/>
    </row>
    <row r="152">
      <c r="A152" s="6" t="inlineStr">
        <is>
          <t>Farmer profile — simple mode (S09)</t>
        </is>
      </c>
      <c r="B152" s="6" t="inlineStr">
        <is>
          <t>About how many trees?</t>
        </is>
      </c>
      <c r="C152" s="6" t="inlineStr">
        <is>
          <t>Add</t>
        </is>
      </c>
      <c r="D152" s="13" t="inlineStr">
        <is>
          <t>Covered</t>
        </is>
      </c>
      <c r="E152" s="6" t="inlineStr">
        <is>
          <t>Yes</t>
        </is>
      </c>
      <c r="F152" s="6" t="inlineStr">
        <is>
          <t>M03-5 §6.1 farm_profiles.tree_count_min,tree_count_max</t>
        </is>
      </c>
      <c r="G152" s="6" t="inlineStr">
        <is>
          <t>Yes</t>
        </is>
      </c>
      <c r="H152" s="6" t="inlineStr">
        <is>
          <t>M03-6 §10</t>
        </is>
      </c>
      <c r="I152" s="6" t="inlineStr"/>
    </row>
    <row r="153">
      <c r="A153" s="6" t="inlineStr">
        <is>
          <t>Farmer profile — simple mode (S09)</t>
        </is>
      </c>
      <c r="B153" s="6" t="inlineStr">
        <is>
          <t>When were they planted?</t>
        </is>
      </c>
      <c r="C153" s="6" t="inlineStr">
        <is>
          <t>Add</t>
        </is>
      </c>
      <c r="D153" s="13" t="inlineStr">
        <is>
          <t>Covered</t>
        </is>
      </c>
      <c r="E153" s="6" t="inlineStr">
        <is>
          <t>Yes</t>
        </is>
      </c>
      <c r="F153" s="6" t="inlineStr">
        <is>
          <t>M03-5 §6.1 farm_profiles.planting_year_from,planting_year_to</t>
        </is>
      </c>
      <c r="G153" s="6" t="inlineStr">
        <is>
          <t>Yes</t>
        </is>
      </c>
      <c r="H153" s="6" t="inlineStr">
        <is>
          <t>M03-6 §10</t>
        </is>
      </c>
      <c r="I153" s="6" t="inlineStr"/>
    </row>
    <row r="154">
      <c r="A154" s="6" t="inlineStr">
        <is>
          <t>Farmer profile — simple mode (S09)</t>
        </is>
      </c>
      <c r="B154" s="6" t="inlineStr">
        <is>
          <t>Are they inoculated?</t>
        </is>
      </c>
      <c r="C154" s="6" t="inlineStr">
        <is>
          <t>Add</t>
        </is>
      </c>
      <c r="D154" s="13" t="inlineStr">
        <is>
          <t>Covered</t>
        </is>
      </c>
      <c r="E154" s="6" t="inlineStr">
        <is>
          <t>Yes</t>
        </is>
      </c>
      <c r="F154" s="6" t="inlineStr">
        <is>
          <t>M03-5 §6.1 farm_profiles.inoculation_status,inoculation_method</t>
        </is>
      </c>
      <c r="G154" s="6" t="inlineStr">
        <is>
          <t>Yes</t>
        </is>
      </c>
      <c r="H154" s="6" t="inlineStr">
        <is>
          <t>M03-6 §10</t>
        </is>
      </c>
      <c r="I154" s="6" t="inlineStr"/>
    </row>
    <row r="155">
      <c r="A155" s="6" t="inlineStr">
        <is>
          <t>Farmer profile — simple mode (S09)</t>
        </is>
      </c>
      <c r="B155" s="6" t="inlineStr">
        <is>
          <t>Forest department number (if you have one)</t>
        </is>
      </c>
      <c r="C155" s="6" t="inlineStr">
        <is>
          <t>Add</t>
        </is>
      </c>
      <c r="D155" s="13" t="inlineStr">
        <is>
          <t>Covered</t>
        </is>
      </c>
      <c r="E155" s="6" t="inlineStr">
        <is>
          <t>Yes</t>
        </is>
      </c>
      <c r="F155" s="6" t="inlineStr">
        <is>
          <t>M03-5 §6.1 farm_profiles.forest_reg_no_encrypted,forest_reg_no_hash,forest_reg_no_masked</t>
        </is>
      </c>
      <c r="G155" s="6" t="inlineStr">
        <is>
          <t>Yes</t>
        </is>
      </c>
      <c r="H155" s="6" t="inlineStr">
        <is>
          <t>M03-6 §10</t>
        </is>
      </c>
      <c r="I155" s="6" t="inlineStr">
        <is>
          <t>Encrypted, shown masked (M03-2 FRM-001)</t>
        </is>
      </c>
    </row>
    <row r="156">
      <c r="A156" s="6" t="inlineStr">
        <is>
          <t>Farmer profile — simple mode (S09)</t>
        </is>
      </c>
      <c r="B156" s="6" t="inlineStr">
        <is>
          <t>Are you in an FPO?</t>
        </is>
      </c>
      <c r="C156" s="6" t="inlineStr">
        <is>
          <t>Add</t>
        </is>
      </c>
      <c r="D156" s="13" t="inlineStr">
        <is>
          <t>Covered</t>
        </is>
      </c>
      <c r="E156" s="6" t="inlineStr">
        <is>
          <t>Yes</t>
        </is>
      </c>
      <c r="F156" s="6" t="inlineStr">
        <is>
          <t>M03-5 §6.5 fpo_memberships.source,fpo_profile_id</t>
        </is>
      </c>
      <c r="G156" s="6" t="inlineStr">
        <is>
          <t>Yes</t>
        </is>
      </c>
      <c r="H156" s="6" t="inlineStr">
        <is>
          <t>M03-6 §10</t>
        </is>
      </c>
      <c r="I156" s="6" t="inlineStr"/>
    </row>
    <row r="157">
      <c r="A157" s="6" t="inlineStr">
        <is>
          <t>Farmer profile — simple mode (S09)</t>
        </is>
      </c>
      <c r="B157" s="6" t="inlineStr">
        <is>
          <t>What is public (switch per fact)</t>
        </is>
      </c>
      <c r="C157" s="6" t="inlineStr">
        <is>
          <t>Add</t>
        </is>
      </c>
      <c r="D157" s="13" t="inlineStr">
        <is>
          <t>Covered</t>
        </is>
      </c>
      <c r="E157" s="6" t="inlineStr">
        <is>
          <t>Yes</t>
        </is>
      </c>
      <c r="F157" s="6" t="inlineStr">
        <is>
          <t>M03-5 §6.1 farm_profiles.public_fields</t>
        </is>
      </c>
      <c r="G157" s="6" t="inlineStr">
        <is>
          <t>Yes</t>
        </is>
      </c>
      <c r="H157" s="6" t="inlineStr">
        <is>
          <t>M03-6 §10</t>
        </is>
      </c>
      <c r="I157" s="6" t="inlineStr"/>
    </row>
    <row r="158">
      <c r="A158" s="6" t="inlineStr">
        <is>
          <t>Farmer profile — simple mode (S09)</t>
        </is>
      </c>
      <c r="B158" s="6" t="inlineStr">
        <is>
          <t>Farm map pin</t>
        </is>
      </c>
      <c r="C158" s="6" t="inlineStr">
        <is>
          <t>Add</t>
        </is>
      </c>
      <c r="D158" s="13" t="inlineStr">
        <is>
          <t>Covered</t>
        </is>
      </c>
      <c r="E158" s="6" t="inlineStr">
        <is>
          <t>Yes</t>
        </is>
      </c>
      <c r="F158" s="6" t="inlineStr">
        <is>
          <t>M03-5 §6.1 farm_profiles.geo_point_encrypted</t>
        </is>
      </c>
      <c r="G158" s="6" t="inlineStr">
        <is>
          <t>Yes</t>
        </is>
      </c>
      <c r="H158" s="6" t="inlineStr">
        <is>
          <t>M03-6 §10</t>
        </is>
      </c>
      <c r="I158" s="6" t="inlineStr">
        <is>
          <t>“Put a pin on your land (optional)”</t>
        </is>
      </c>
    </row>
    <row r="159">
      <c r="A159" s="6" t="inlineStr">
        <is>
          <t>Farmer profile — simple mode (S09)</t>
        </is>
      </c>
      <c r="B159" s="6" t="inlineStr">
        <is>
          <t>How to get verified (myself · field agent or FPO)</t>
        </is>
      </c>
      <c r="C159" s="6" t="inlineStr">
        <is>
          <t>Add</t>
        </is>
      </c>
      <c r="D159" s="13" t="inlineStr">
        <is>
          <t>Covered</t>
        </is>
      </c>
      <c r="E159" s="6" t="inlineStr">
        <is>
          <t>Yes</t>
        </is>
      </c>
      <c r="F159" s="6" t="inlineStr">
        <is>
          <t>M03-5 §4.2 verification_cases.case_type</t>
        </is>
      </c>
      <c r="G159" s="6" t="inlineStr">
        <is>
          <t>Yes</t>
        </is>
      </c>
      <c r="H159" s="6" t="inlineStr">
        <is>
          <t>M03-6 §10</t>
        </is>
      </c>
      <c r="I159" s="6" t="inlineStr"/>
    </row>
    <row r="160">
      <c r="A160" s="6" t="inlineStr">
        <is>
          <t>Farmer profile — simple mode (S09)</t>
        </is>
      </c>
      <c r="B160" s="6" t="inlineStr">
        <is>
          <t>Land paper photo</t>
        </is>
      </c>
      <c r="C160" s="6" t="inlineStr">
        <is>
          <t>Add</t>
        </is>
      </c>
      <c r="D160" s="13" t="inlineStr">
        <is>
          <t>Covered</t>
        </is>
      </c>
      <c r="E160" s="6" t="inlineStr">
        <is>
          <t>Yes</t>
        </is>
      </c>
      <c r="F160" s="6" t="inlineStr">
        <is>
          <t>M03-5 §4.3 verification_documents.slot_key; M03-5 §6.1 farm_profiles.land_proof_document_id,land_proof_valid_until</t>
        </is>
      </c>
      <c r="G160" s="6" t="inlineStr">
        <is>
          <t>Yes</t>
        </is>
      </c>
      <c r="H160" s="6" t="inlineStr">
        <is>
          <t>M03-6 §10</t>
        </is>
      </c>
      <c r="I160" s="6" t="inlineStr"/>
    </row>
    <row r="161">
      <c r="A161" s="6" t="inlineStr">
        <is>
          <t>Farmer profile — simple mode (S09)</t>
        </is>
      </c>
      <c r="B161" s="6" t="inlineStr">
        <is>
          <t>Family-land declaration (community land)</t>
        </is>
      </c>
      <c r="C161" s="6" t="inlineStr">
        <is>
          <t>Add</t>
        </is>
      </c>
      <c r="D161" s="13" t="inlineStr">
        <is>
          <t>Covered</t>
        </is>
      </c>
      <c r="E161" s="6" t="inlineStr">
        <is>
          <t>Yes</t>
        </is>
      </c>
      <c r="F161" s="6" t="inlineStr">
        <is>
          <t>M03-5 §3.4 compliance_declarations.declaration_type</t>
        </is>
      </c>
      <c r="G161" s="6" t="inlineStr">
        <is>
          <t>Yes</t>
        </is>
      </c>
      <c r="H161" s="6" t="inlineStr">
        <is>
          <t>M03-6 §10</t>
        </is>
      </c>
      <c r="I161" s="6" t="inlineStr">
        <is>
          <t>“Family land” step</t>
        </is>
      </c>
    </row>
    <row r="162">
      <c r="A162" s="6" t="inlineStr">
        <is>
          <t>Farmer profile — simple mode (S09)</t>
        </is>
      </c>
      <c r="B162" s="6" t="inlineStr">
        <is>
          <t>ID + selfie (route A)</t>
        </is>
      </c>
      <c r="C162" s="6" t="inlineStr">
        <is>
          <t>Add</t>
        </is>
      </c>
      <c r="D162" s="13" t="inlineStr">
        <is>
          <t>Covered</t>
        </is>
      </c>
      <c r="E162" s="6" t="inlineStr">
        <is>
          <t>Yes</t>
        </is>
      </c>
      <c r="F162" s="6" t="inlineStr">
        <is>
          <t>M03-5 §4.4 identity_checks.subject_type</t>
        </is>
      </c>
      <c r="G162" s="6" t="inlineStr">
        <is>
          <t>Yes</t>
        </is>
      </c>
      <c r="H162" s="6" t="inlineStr">
        <is>
          <t>M03-6 §10; §7</t>
        </is>
      </c>
      <c r="I162" s="6" t="inlineStr"/>
    </row>
    <row r="163">
      <c r="A163" s="6" t="inlineStr">
        <is>
          <t>Farmer profile — simple mode (S09)</t>
        </is>
      </c>
      <c r="B163" s="6" t="inlineStr">
        <is>
          <t>Preferred language (Assamese / Bengali / Hindi)</t>
        </is>
      </c>
      <c r="C163" s="6" t="inlineStr">
        <is>
          <t>Add</t>
        </is>
      </c>
      <c r="D163" s="13" t="inlineStr">
        <is>
          <t>Covered</t>
        </is>
      </c>
      <c r="E163" s="6" t="inlineStr">
        <is>
          <t>Yes</t>
        </is>
      </c>
      <c r="F163" s="6" t="inlineStr">
        <is>
          <t>M01-5 §4.2 user_preferences.language; M02-5 §2.1 accounts.code_language</t>
        </is>
      </c>
      <c r="G163" s="6" t="inlineStr">
        <is>
          <t>Yes</t>
        </is>
      </c>
      <c r="H163" s="6" t="inlineStr">
        <is>
          <t>M02-6 §17; §13</t>
        </is>
      </c>
      <c r="I163" s="6" t="inlineStr">
        <is>
          <t>Code language saved in accounts.code_language</t>
        </is>
      </c>
    </row>
    <row r="164">
      <c r="A164" s="6" t="inlineStr">
        <is>
          <t>Farmer profile — simple mode (S09)</t>
        </is>
      </c>
      <c r="B164" s="6" t="inlineStr">
        <is>
          <t>Time zone (Figma Preview: PUBLIC)</t>
        </is>
      </c>
      <c r="C164" s="6" t="inlineStr">
        <is>
          <t>Change (private)</t>
        </is>
      </c>
      <c r="D164" s="13" t="inlineStr">
        <is>
          <t>Covered</t>
        </is>
      </c>
      <c r="E164" s="6" t="inlineStr">
        <is>
          <t>Yes</t>
        </is>
      </c>
      <c r="F164" s="6" t="inlineStr">
        <is>
          <t>M01-5 §4.2 user_preferences.time_zone</t>
        </is>
      </c>
      <c r="G164" s="6" t="inlineStr">
        <is>
          <t>Yes</t>
        </is>
      </c>
      <c r="H164" s="6" t="inlineStr">
        <is>
          <t>M02-6 §17</t>
        </is>
      </c>
      <c r="I164" s="6" t="inlineStr"/>
    </row>
    <row r="165">
      <c r="A165" s="6" t="inlineStr">
        <is>
          <t>Farmer profile — simple mode (S09)</t>
        </is>
      </c>
      <c r="B165" s="6" t="inlineStr">
        <is>
          <t>Working days · contact hours (Figma Preview: PUBLIC)</t>
        </is>
      </c>
      <c r="C165" s="6" t="inlineStr">
        <is>
          <t>Keep (decide)</t>
        </is>
      </c>
      <c r="D165" s="13" t="inlineStr">
        <is>
          <t>Covered</t>
        </is>
      </c>
      <c r="E165" s="6" t="inlineStr">
        <is>
          <t>Yes</t>
        </is>
      </c>
      <c r="F165" s="6" t="inlineStr">
        <is>
          <t>M03-5 §3.5 profile_addresses.contact_hours (home row)</t>
        </is>
      </c>
      <c r="G165" s="6" t="inlineStr">
        <is>
          <t>Yes</t>
        </is>
      </c>
      <c r="H165" s="6" t="inlineStr">
        <is>
          <t>M03-6 §10</t>
        </is>
      </c>
      <c r="I165" s="6" t="inlineStr">
        <is>
          <t>M03-2 LOC-008; public/private of farmer hours unclear in M03-5 §3.5</t>
        </is>
      </c>
    </row>
    <row r="166">
      <c r="A166" s="6" t="inlineStr">
        <is>
          <t>Farmer profile — simple mode (S09)</t>
        </is>
      </c>
      <c r="B166" s="6" t="inlineStr">
        <is>
          <t>Optional links step (skippable)</t>
        </is>
      </c>
      <c r="C166" s="6" t="inlineStr">
        <is>
          <t>Keep</t>
        </is>
      </c>
      <c r="D166" s="13" t="inlineStr">
        <is>
          <t>Covered</t>
        </is>
      </c>
      <c r="E166" s="6" t="inlineStr">
        <is>
          <t>Yes</t>
        </is>
      </c>
      <c r="F166" s="6" t="inlineStr">
        <is>
          <t>M03-5 §8.2 profile_links.link_type</t>
        </is>
      </c>
      <c r="G166" s="6" t="inlineStr">
        <is>
          <t>Yes</t>
        </is>
      </c>
      <c r="H166" s="6" t="inlineStr">
        <is>
          <t>M03-6 §10</t>
        </is>
      </c>
      <c r="I166" s="6" t="inlineStr">
        <is>
          <t>Step 4, skippable (M03-2 PRF-009)</t>
        </is>
      </c>
    </row>
    <row r="167">
      <c r="A167" s="6" t="inlineStr">
        <is>
          <t>Inoculation Provider · Your Capability</t>
        </is>
      </c>
      <c r="B167" s="6" t="inlineStr">
        <is>
          <t>Inoculation techniques offered</t>
        </is>
      </c>
      <c r="C167" s="6" t="inlineStr">
        <is>
          <t>Keep</t>
        </is>
      </c>
      <c r="D167" s="13" t="inlineStr">
        <is>
          <t>Covered</t>
        </is>
      </c>
      <c r="E167" s="6" t="inlineStr">
        <is>
          <t>Yes</t>
        </is>
      </c>
      <c r="F167" s="6" t="inlineStr">
        <is>
          <t>M03-5 §7.3 service_capabilities.techniques</t>
        </is>
      </c>
      <c r="G167" s="6" t="inlineStr">
        <is>
          <t>Yes</t>
        </is>
      </c>
      <c r="H167" s="6" t="inlineStr">
        <is>
          <t>M03-6 §12.1; §15</t>
        </is>
      </c>
      <c r="I167" s="6" t="inlineStr">
        <is>
          <t>M03-2 TRS-014</t>
        </is>
      </c>
    </row>
    <row r="168">
      <c r="A168" s="6" t="inlineStr">
        <is>
          <t>Inoculation Provider · Your Capability</t>
        </is>
      </c>
      <c r="B168" s="6" t="inlineStr">
        <is>
          <t>Species covered</t>
        </is>
      </c>
      <c r="C168" s="6" t="inlineStr">
        <is>
          <t>Keep</t>
        </is>
      </c>
      <c r="D168" s="13" t="inlineStr">
        <is>
          <t>Covered</t>
        </is>
      </c>
      <c r="E168" s="6" t="inlineStr">
        <is>
          <t>Yes</t>
        </is>
      </c>
      <c r="F168" s="6" t="inlineStr">
        <is>
          <t>M03-5 §7.3 service_capabilities.species</t>
        </is>
      </c>
      <c r="G168" s="6" t="inlineStr">
        <is>
          <t>Yes</t>
        </is>
      </c>
      <c r="H168" s="6" t="inlineStr">
        <is>
          <t>M03-6 §12.1; §15</t>
        </is>
      </c>
      <c r="I168" s="6" t="inlineStr">
        <is>
          <t>M03-2 TRS-014</t>
        </is>
      </c>
    </row>
    <row r="169">
      <c r="A169" s="6" t="inlineStr">
        <is>
          <t>Inoculation Provider · Your Capability</t>
        </is>
      </c>
      <c r="B169" s="6" t="inlineStr">
        <is>
          <t>Geographic coverage</t>
        </is>
      </c>
      <c r="C169" s="6" t="inlineStr">
        <is>
          <t>Keep</t>
        </is>
      </c>
      <c r="D169" s="13" t="inlineStr">
        <is>
          <t>Covered</t>
        </is>
      </c>
      <c r="E169" s="6" t="inlineStr">
        <is>
          <t>Yes</t>
        </is>
      </c>
      <c r="F169" s="6" t="inlineStr">
        <is>
          <t>M03-5 §7.3 service_capabilities.coverage_areas</t>
        </is>
      </c>
      <c r="G169" s="6" t="inlineStr">
        <is>
          <t>Yes</t>
        </is>
      </c>
      <c r="H169" s="6" t="inlineStr">
        <is>
          <t>M03-6 §12.1; §15</t>
        </is>
      </c>
      <c r="I169" s="6" t="inlineStr">
        <is>
          <t>M03-2 TRS-014</t>
        </is>
      </c>
    </row>
    <row r="170">
      <c r="A170" s="6" t="inlineStr">
        <is>
          <t>Inoculation Provider · Your Capability</t>
        </is>
      </c>
      <c r="B170" s="6" t="inlineStr">
        <is>
          <t>Service radius</t>
        </is>
      </c>
      <c r="C170" s="6" t="inlineStr">
        <is>
          <t>Keep</t>
        </is>
      </c>
      <c r="D170" s="13" t="inlineStr">
        <is>
          <t>Covered</t>
        </is>
      </c>
      <c r="E170" s="6" t="inlineStr">
        <is>
          <t>Yes</t>
        </is>
      </c>
      <c r="F170" s="6" t="inlineStr">
        <is>
          <t>M03-5 §7.3 service_capabilities.service_radius_km</t>
        </is>
      </c>
      <c r="G170" s="6" t="inlineStr">
        <is>
          <t>Yes</t>
        </is>
      </c>
      <c r="H170" s="6" t="inlineStr">
        <is>
          <t>M03-6 §12.1</t>
        </is>
      </c>
      <c r="I170" s="6" t="inlineStr">
        <is>
          <t>Private (M03-2 TRS-015)</t>
        </is>
      </c>
    </row>
    <row r="171">
      <c r="A171" s="6" t="inlineStr">
        <is>
          <t>Inoculation Provider · Your Capability</t>
        </is>
      </c>
      <c r="B171" s="6" t="inlineStr">
        <is>
          <t>Capacity per month</t>
        </is>
      </c>
      <c r="C171" s="6" t="inlineStr">
        <is>
          <t>Keep</t>
        </is>
      </c>
      <c r="D171" s="13" t="inlineStr">
        <is>
          <t>Covered</t>
        </is>
      </c>
      <c r="E171" s="6" t="inlineStr">
        <is>
          <t>Yes</t>
        </is>
      </c>
      <c r="F171" s="6" t="inlineStr">
        <is>
          <t>M03-5 §7.3 service_capabilities.capacity_per_month,capacity_band</t>
        </is>
      </c>
      <c r="G171" s="6" t="inlineStr">
        <is>
          <t>Yes</t>
        </is>
      </c>
      <c r="H171" s="6" t="inlineStr">
        <is>
          <t>M03-6 §12.1; §3.3</t>
        </is>
      </c>
      <c r="I171" s="6" t="inlineStr">
        <is>
          <t>Public as a range (M03-2 TRS-015)</t>
        </is>
      </c>
    </row>
    <row r="172">
      <c r="A172" s="6" t="inlineStr">
        <is>
          <t>Inoculation Provider · Your Capability</t>
        </is>
      </c>
      <c r="B172" s="6" t="inlineStr">
        <is>
          <t>Capacity (trees treated)</t>
        </is>
      </c>
      <c r="C172" s="6" t="inlineStr">
        <is>
          <t>Keep</t>
        </is>
      </c>
      <c r="D172" s="13" t="inlineStr">
        <is>
          <t>Covered</t>
        </is>
      </c>
      <c r="E172" s="6" t="inlineStr">
        <is>
          <t>Yes</t>
        </is>
      </c>
      <c r="F172" s="6" t="inlineStr">
        <is>
          <t>M03-5 §7.3 service_capabilities.trees_treated_total,trees_treated_band</t>
        </is>
      </c>
      <c r="G172" s="6" t="inlineStr">
        <is>
          <t>Yes</t>
        </is>
      </c>
      <c r="H172" s="6" t="inlineStr">
        <is>
          <t>M03-6 §12.1; §15</t>
        </is>
      </c>
      <c r="I172" s="6" t="inlineStr">
        <is>
          <t>Public as a range (M03-2 TRS-015)</t>
        </is>
      </c>
    </row>
    <row r="173">
      <c r="A173" s="6" t="inlineStr">
        <is>
          <t>Inoculation Provider · Your Capability</t>
        </is>
      </c>
      <c r="B173" s="6" t="inlineStr">
        <is>
          <t>Service notes</t>
        </is>
      </c>
      <c r="C173" s="6" t="inlineStr">
        <is>
          <t>Keep</t>
        </is>
      </c>
      <c r="D173" s="13" t="inlineStr">
        <is>
          <t>Covered</t>
        </is>
      </c>
      <c r="E173" s="6" t="inlineStr">
        <is>
          <t>Yes</t>
        </is>
      </c>
      <c r="F173" s="6" t="inlineStr">
        <is>
          <t>M03-5 §7.3 service_capabilities.service_notes</t>
        </is>
      </c>
      <c r="G173" s="6" t="inlineStr">
        <is>
          <t>Yes</t>
        </is>
      </c>
      <c r="H173" s="6" t="inlineStr">
        <is>
          <t>M03-6 §12.1</t>
        </is>
      </c>
      <c r="I173" s="6" t="inlineStr">
        <is>
          <t>M03-2 TRS-014</t>
        </is>
      </c>
    </row>
    <row r="174">
      <c r="A174" s="6" t="inlineStr">
        <is>
          <t>Nursery</t>
        </is>
      </c>
      <c r="B174" s="6" t="inlineStr">
        <is>
          <t>Nursery licence (state where required)</t>
        </is>
      </c>
      <c r="C174" s="6" t="inlineStr">
        <is>
          <t>Add</t>
        </is>
      </c>
      <c r="D174" s="13" t="inlineStr">
        <is>
          <t>Covered</t>
        </is>
      </c>
      <c r="E174" s="6" t="inlineStr">
        <is>
          <t>Yes</t>
        </is>
      </c>
      <c r="F174" s="6" t="inlineStr">
        <is>
          <t>M03-5 §4.3 verification_documents.slot_key,number_encrypted,number_hash,number_masked,issuing_region,expiry_date; M03-5 §4.1 document_checklists.region_code,condition_key</t>
        </is>
      </c>
      <c r="G174" s="6" t="inlineStr">
        <is>
          <t>Yes</t>
        </is>
      </c>
      <c r="H174" s="6" t="inlineStr">
        <is>
          <t>M03-6 §8.1</t>
        </is>
      </c>
      <c r="I174" s="6" t="inlineStr">
        <is>
          <t>Nursery licence slot (M03-2 DOC-005)</t>
        </is>
      </c>
    </row>
    <row r="175">
      <c r="A175" s="6" t="inlineStr">
        <is>
          <t>Nursery</t>
        </is>
      </c>
      <c r="B175" s="6" t="inlineStr">
        <is>
          <t>Species you grow</t>
        </is>
      </c>
      <c r="C175" s="6" t="inlineStr">
        <is>
          <t>Add</t>
        </is>
      </c>
      <c r="D175" s="13" t="inlineStr">
        <is>
          <t>Covered</t>
        </is>
      </c>
      <c r="E175" s="6" t="inlineStr">
        <is>
          <t>Yes</t>
        </is>
      </c>
      <c r="F175" s="6" t="inlineStr">
        <is>
          <t>M03-5 §7.3 service_capabilities.species</t>
        </is>
      </c>
      <c r="G175" s="6" t="inlineStr">
        <is>
          <t>Yes</t>
        </is>
      </c>
      <c r="H175" s="6" t="inlineStr">
        <is>
          <t>M03-6 §12.1</t>
        </is>
      </c>
      <c r="I175" s="6" t="inlineStr">
        <is>
          <t>M03-2 TRS-014</t>
        </is>
      </c>
    </row>
    <row r="176">
      <c r="A176" s="6" t="inlineStr">
        <is>
          <t>Nursery</t>
        </is>
      </c>
      <c r="B176" s="6" t="inlineStr">
        <is>
          <t>Seedlings per year</t>
        </is>
      </c>
      <c r="C176" s="6" t="inlineStr">
        <is>
          <t>Add</t>
        </is>
      </c>
      <c r="D176" s="13" t="inlineStr">
        <is>
          <t>Covered</t>
        </is>
      </c>
      <c r="E176" s="6" t="inlineStr">
        <is>
          <t>Yes</t>
        </is>
      </c>
      <c r="F176" s="6" t="inlineStr">
        <is>
          <t>M03-5 §7.3 service_capabilities.seedlings_per_year,seedlings_band</t>
        </is>
      </c>
      <c r="G176" s="6" t="inlineStr">
        <is>
          <t>Yes</t>
        </is>
      </c>
      <c r="H176" s="6" t="inlineStr">
        <is>
          <t>M03-6 §12.1</t>
        </is>
      </c>
      <c r="I176" s="6" t="inlineStr">
        <is>
          <t>Public as a range (M03-2 TRS-015)</t>
        </is>
      </c>
    </row>
    <row r="177">
      <c r="A177" s="6" t="inlineStr">
        <is>
          <t>Nursery</t>
        </is>
      </c>
      <c r="B177" s="6" t="inlineStr">
        <is>
          <t>Seedling age (months)</t>
        </is>
      </c>
      <c r="C177" s="6" t="inlineStr">
        <is>
          <t>Add</t>
        </is>
      </c>
      <c r="D177" s="13" t="inlineStr">
        <is>
          <t>Covered</t>
        </is>
      </c>
      <c r="E177" s="6" t="inlineStr">
        <is>
          <t>Yes</t>
        </is>
      </c>
      <c r="F177" s="6" t="inlineStr">
        <is>
          <t>M03-5 §8.1 profile_interests.attributes</t>
        </is>
      </c>
      <c r="G177" s="6" t="inlineStr">
        <is>
          <t>Yes</t>
        </is>
      </c>
      <c r="H177" s="6" t="inlineStr">
        <is>
          <t>M03-6 §12</t>
        </is>
      </c>
      <c r="I177" s="6" t="inlineStr"/>
    </row>
    <row r="178">
      <c r="A178" s="6" t="inlineStr">
        <is>
          <t>Nursery</t>
        </is>
      </c>
      <c r="B178" s="6" t="inlineStr">
        <is>
          <t>Nursery-only categories</t>
        </is>
      </c>
      <c r="C178" s="6" t="inlineStr">
        <is>
          <t>Add</t>
        </is>
      </c>
      <c r="D178" s="13" t="inlineStr">
        <is>
          <t>Covered</t>
        </is>
      </c>
      <c r="E178" s="6" t="inlineStr">
        <is>
          <t>Yes</t>
        </is>
      </c>
      <c r="F178" s="6" t="inlineStr">
        <is>
          <t>M03-5 §8.1 profile_interests.direction,top_category_code</t>
        </is>
      </c>
      <c r="G178" s="6" t="inlineStr">
        <is>
          <t>Yes</t>
        </is>
      </c>
      <c r="H178" s="6" t="inlineStr">
        <is>
          <t>M03-6 §12</t>
        </is>
      </c>
      <c r="I178" s="6" t="inlineStr">
        <is>
          <t>Nursery-only category list (PRD-TAX-005) not stated Wording added 24 Sep 2026.</t>
        </is>
      </c>
    </row>
    <row r="179">
      <c r="A179" s="6" t="inlineStr">
        <is>
          <t>Company extras</t>
        </is>
      </c>
      <c r="B179" s="6" t="inlineStr">
        <is>
          <t>Company number (CIN / LLPIN) — required</t>
        </is>
      </c>
      <c r="C179" s="6" t="inlineStr">
        <is>
          <t>Add</t>
        </is>
      </c>
      <c r="D179" s="13" t="inlineStr">
        <is>
          <t>Covered</t>
        </is>
      </c>
      <c r="E179" s="6" t="inlineStr">
        <is>
          <t>Yes</t>
        </is>
      </c>
      <c r="F179" s="6" t="inlineStr">
        <is>
          <t>M03-5 §3.2 business_registrations.registration_type; M03-5 §3.1 country_id_rules.requirement,applies_to_forms</t>
        </is>
      </c>
      <c r="G179" s="6" t="inlineStr">
        <is>
          <t>Yes</t>
        </is>
      </c>
      <c r="H179" s="6" t="inlineStr">
        <is>
          <t>M03-6 §5.1</t>
        </is>
      </c>
      <c r="I179" s="6" t="inlineStr">
        <is>
          <t>CIN / LLPIN not stated as required for Company (M03-2 §7.1 also accepts co-op or GSTIN) Wording added 24 Sep 2026.</t>
        </is>
      </c>
    </row>
    <row r="180">
      <c r="A180" s="6" t="inlineStr">
        <is>
          <t>Company extras</t>
        </is>
      </c>
      <c r="B180" s="6" t="inlineStr">
        <is>
          <t>Authority letter / board resolution</t>
        </is>
      </c>
      <c r="C180" s="6" t="inlineStr">
        <is>
          <t>Add</t>
        </is>
      </c>
      <c r="D180" s="13" t="inlineStr">
        <is>
          <t>Covered</t>
        </is>
      </c>
      <c r="E180" s="6" t="inlineStr">
        <is>
          <t>Yes</t>
        </is>
      </c>
      <c r="F180" s="6" t="inlineStr">
        <is>
          <t>M03-5 §4.3 verification_documents.slot_key; M03-5 §3.3 authorised_persons.authority_document_id</t>
        </is>
      </c>
      <c r="G180" s="6" t="inlineStr">
        <is>
          <t>Yes</t>
        </is>
      </c>
      <c r="H180" s="6" t="inlineStr">
        <is>
          <t>M03-6 §5.3</t>
        </is>
      </c>
      <c r="I180" s="6" t="inlineStr"/>
    </row>
    <row r="181">
      <c r="A181" s="6" t="inlineStr">
        <is>
          <t>Company extras</t>
        </is>
      </c>
      <c r="B181" s="6" t="inlineStr">
        <is>
          <t>We are a Co-operative / FPO</t>
        </is>
      </c>
      <c r="C181" s="6" t="inlineStr">
        <is>
          <t>Add</t>
        </is>
      </c>
      <c r="D181" s="13" t="inlineStr">
        <is>
          <t>Covered</t>
        </is>
      </c>
      <c r="E181" s="6" t="inlineStr">
        <is>
          <t>Yes</t>
        </is>
      </c>
      <c r="F181" s="6" t="inlineStr">
        <is>
          <t>M03-5 §2.1 profiles.is_cooperative; M03-5 §3.2 business_registrations.registration_type; M03-5 §4.6 badges.badge_type</t>
        </is>
      </c>
      <c r="G181" s="6" t="inlineStr">
        <is>
          <t>Yes</t>
        </is>
      </c>
      <c r="H181" s="6" t="inlineStr">
        <is>
          <t>M03-6 §5.2; §15</t>
        </is>
      </c>
      <c r="I181" s="6" t="inlineStr"/>
    </row>
    <row r="182">
      <c r="A182" s="6" t="inlineStr">
        <is>
          <t>Company extras</t>
        </is>
      </c>
      <c r="B182" s="6" t="inlineStr">
        <is>
          <t>Registered address proof</t>
        </is>
      </c>
      <c r="C182" s="6" t="inlineStr">
        <is>
          <t>Add</t>
        </is>
      </c>
      <c r="D182" s="13" t="inlineStr">
        <is>
          <t>Covered</t>
        </is>
      </c>
      <c r="E182" s="6" t="inlineStr">
        <is>
          <t>Yes</t>
        </is>
      </c>
      <c r="F182" s="6" t="inlineStr">
        <is>
          <t>M03-5 §4.3 verification_documents.slot_key</t>
        </is>
      </c>
      <c r="G182" s="6" t="inlineStr">
        <is>
          <t>Yes</t>
        </is>
      </c>
      <c r="H182" s="6" t="inlineStr">
        <is>
          <t>M03-6 §9</t>
        </is>
      </c>
      <c r="I182" s="6" t="inlineStr"/>
    </row>
    <row r="183">
      <c r="A183" s="6" t="inlineStr">
        <is>
          <t>Company extras</t>
        </is>
      </c>
      <c r="B183" s="6" t="inlineStr">
        <is>
          <t>Owners with 25 % or more / 'No one owns 25 % or more'</t>
        </is>
      </c>
      <c r="C183" s="6" t="inlineStr">
        <is>
          <t>Add (enhanced check S08)</t>
        </is>
      </c>
      <c r="D183" s="13" t="inlineStr">
        <is>
          <t>Covered</t>
        </is>
      </c>
      <c r="E183" s="6" t="inlineStr">
        <is>
          <t>Yes</t>
        </is>
      </c>
      <c r="F183" s="6" t="inlineStr">
        <is>
          <t>M03-5 §5.2 beneficial_owners.full_name,share_percent,nationality; M03-5 §5.1 enhanced_checks.no_major_owner_declared,senior_manager_name; M03-5 §3.4 compliance_declarations.declaration_type</t>
        </is>
      </c>
      <c r="G183" s="6" t="inlineStr">
        <is>
          <t>Yes</t>
        </is>
      </c>
      <c r="H183" s="6" t="inlineStr">
        <is>
          <t>M03-6 §9</t>
        </is>
      </c>
      <c r="I183" s="6" t="inlineStr"/>
    </row>
    <row r="184">
      <c r="A184" s="6" t="inlineStr">
        <is>
          <t>Company extras</t>
        </is>
      </c>
      <c r="B184" s="6" t="inlineStr">
        <is>
          <t>Bank check</t>
        </is>
      </c>
      <c r="C184" s="6" t="inlineStr">
        <is>
          <t>Add (enhanced check S08)</t>
        </is>
      </c>
      <c r="D184" s="13" t="inlineStr">
        <is>
          <t>Covered</t>
        </is>
      </c>
      <c r="E184" s="6" t="inlineStr">
        <is>
          <t>Yes</t>
        </is>
      </c>
      <c r="F184" s="6" t="inlineStr">
        <is>
          <t>M03-5 §5.1 enhanced_checks.bank_check_result,bank_name,bank_consent_id</t>
        </is>
      </c>
      <c r="G184" s="6" t="inlineStr">
        <is>
          <t>Yes</t>
        </is>
      </c>
      <c r="H184" s="6" t="inlineStr">
        <is>
          <t>M03-6 §9</t>
        </is>
      </c>
      <c r="I184" s="6" t="inlineStr"/>
    </row>
    <row r="185">
      <c r="A185" s="6" t="inlineStr">
        <is>
          <t>Badges</t>
        </is>
      </c>
      <c r="B185" s="6" t="inlineStr">
        <is>
          <t>Export permitted (listing badge)</t>
        </is>
      </c>
      <c r="C185" s="6" t="inlineStr">
        <is>
          <t>Add</t>
        </is>
      </c>
      <c r="D185" s="9" t="inlineStr">
        <is>
          <t>Add to both</t>
        </is>
      </c>
      <c r="E185" s="6" t="inlineStr">
        <is>
          <t>No</t>
        </is>
      </c>
      <c r="F185" s="6" t="inlineStr">
        <is>
          <t>None in M03 (listing badge, M05 / M06 not designed yet; PRD-ORG-013)</t>
        </is>
      </c>
      <c r="G185" s="6" t="inlineStr">
        <is>
          <t>Partly</t>
        </is>
      </c>
      <c r="H185" s="6" t="inlineStr">
        <is>
          <t>M03-6 §15</t>
        </is>
      </c>
      <c r="I185" s="6" t="inlineStr">
        <is>
          <t>Belongs in the M05 / M06 designs</t>
        </is>
      </c>
    </row>
    <row r="186">
      <c r="A186" s="6" t="inlineStr">
        <is>
          <t>Badges</t>
        </is>
      </c>
      <c r="B186" s="6" t="inlineStr">
        <is>
          <t>GST registered</t>
        </is>
      </c>
      <c r="C186" s="6" t="inlineStr">
        <is>
          <t>Add</t>
        </is>
      </c>
      <c r="D186" s="13" t="inlineStr">
        <is>
          <t>Covered</t>
        </is>
      </c>
      <c r="E186" s="6" t="inlineStr">
        <is>
          <t>Yes</t>
        </is>
      </c>
      <c r="F186" s="6" t="inlineStr">
        <is>
          <t>M03-5 §4.6 badges.badge_type = gst_registered,source_ref</t>
        </is>
      </c>
      <c r="G186" s="6" t="inlineStr">
        <is>
          <t>Yes</t>
        </is>
      </c>
      <c r="H186" s="6" t="inlineStr">
        <is>
          <t>M03-6 §15</t>
        </is>
      </c>
      <c r="I186" s="6" t="inlineStr">
        <is>
          <t>M03-2 TRS-012</t>
        </is>
      </c>
    </row>
    <row r="187">
      <c r="A187" s="6" t="inlineStr">
        <is>
          <t>Badges</t>
        </is>
      </c>
      <c r="B187" s="6" t="inlineStr">
        <is>
          <t>Trusted (tier)</t>
        </is>
      </c>
      <c r="C187" s="6" t="inlineStr">
        <is>
          <t>Add (R2)</t>
        </is>
      </c>
      <c r="D187" s="13" t="inlineStr">
        <is>
          <t>Covered</t>
        </is>
      </c>
      <c r="E187" s="6" t="inlineStr">
        <is>
          <t>Yes</t>
        </is>
      </c>
      <c r="F187" s="6" t="inlineStr">
        <is>
          <t>M03-5 §4.6 badges.badge_type = trusted,source_ref</t>
        </is>
      </c>
      <c r="G187" s="6" t="inlineStr">
        <is>
          <t>Yes</t>
        </is>
      </c>
      <c r="H187" s="6" t="inlineStr">
        <is>
          <t>M03-6 §15</t>
        </is>
      </c>
      <c r="I187" s="6" t="inlineStr">
        <is>
          <t>M03-2 TRS-013; R2, rules in M10</t>
        </is>
      </c>
    </row>
    <row r="188">
      <c r="A188" s="6" t="inlineStr">
        <is>
          <t>Badges</t>
        </is>
      </c>
      <c r="B188" s="6" t="inlineStr">
        <is>
          <t>'Identity verified' badge wording</t>
        </is>
      </c>
      <c r="C188" s="6" t="inlineStr">
        <is>
          <t>Change</t>
        </is>
      </c>
      <c r="D188" s="13" t="inlineStr">
        <is>
          <t>Covered</t>
        </is>
      </c>
      <c r="E188" s="6" t="inlineStr">
        <is>
          <t>Yes</t>
        </is>
      </c>
      <c r="F188" s="6" t="inlineStr">
        <is>
          <t>M03-5 §4.6 badges.badge_type</t>
        </is>
      </c>
      <c r="G188" s="6" t="inlineStr">
        <is>
          <t>Yes</t>
        </is>
      </c>
      <c r="H188" s="6" t="inlineStr">
        <is>
          <t>M03-6 §15; §8.2</t>
        </is>
      </c>
      <c r="I188" s="6" t="inlineStr"/>
    </row>
    <row r="189">
      <c r="A189" s="6" t="inlineStr">
        <is>
          <t>Badges</t>
        </is>
      </c>
      <c r="B189" s="6" t="inlineStr">
        <is>
          <t>Verified Origin · Tree Registration · Lab Tested</t>
        </is>
      </c>
      <c r="C189" s="6" t="inlineStr">
        <is>
          <t>Keep (discuss in Module 6)</t>
        </is>
      </c>
      <c r="D189" s="9" t="inlineStr">
        <is>
          <t>Add to both</t>
        </is>
      </c>
      <c r="E189" s="6" t="inlineStr">
        <is>
          <t>No</t>
        </is>
      </c>
      <c r="F189" s="6" t="inlineStr">
        <is>
          <t>None (decide in Module 6; PRD §15 open item 28)</t>
        </is>
      </c>
      <c r="G189" s="6" t="inlineStr">
        <is>
          <t>Missing</t>
        </is>
      </c>
      <c r="H189" s="6" t="inlineStr"/>
      <c r="I189" s="6" t="inlineStr">
        <is>
          <t>Open item for Module 6</t>
        </is>
      </c>
    </row>
  </sheetData>
  <autoFilter ref="A9:I1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2026-09-25T13:09:54Z</dcterms:created>
  <dcterms:modified xmlns:dcterms="http://purl.org/dc/terms/" xmlns:xsi="http://www.w3.org/2001/XMLSchema-instance" xsi:type="dcterms:W3CDTF">2026-09-25T13:09:54Z</dcterms:modified>
</cp:coreProperties>
</file>